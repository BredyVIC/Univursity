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https://d.docs.live.net/718cdb1a3fef793a/Рабочий стол/"/>
    </mc:Choice>
  </mc:AlternateContent>
  <xr:revisionPtr revIDLastSave="0" documentId="8_{2C4C3D3E-0CDB-4E30-B165-FA4D30F1E65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Лист1" sheetId="1" r:id="rId1"/>
    <sheet name="Лист2" sheetId="2" r:id="rId2"/>
    <sheet name="Лист3" sheetId="5" r:id="rId3"/>
  </sheets>
  <definedNames>
    <definedName name="_xlnm._FilterDatabase" localSheetId="2" hidden="1">Лист3!$A$1:$M$43</definedName>
  </definedNames>
  <calcPr calcId="191029"/>
  <pivotCaches>
    <pivotCache cacheId="0" r:id="rId4"/>
    <pivotCache cacheId="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5" l="1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I4" i="5"/>
  <c r="M43" i="5" a="1"/>
  <c r="M43" i="5" s="1"/>
  <c r="I43" i="5"/>
  <c r="M42" i="5" a="1"/>
  <c r="M42" i="5" s="1"/>
  <c r="I42" i="5"/>
  <c r="M41" i="5" a="1"/>
  <c r="M41" i="5" s="1"/>
  <c r="I41" i="5"/>
  <c r="M40" i="5" a="1"/>
  <c r="M40" i="5" s="1"/>
  <c r="I40" i="5"/>
  <c r="M39" i="5" a="1"/>
  <c r="M39" i="5" s="1"/>
  <c r="I39" i="5"/>
  <c r="M38" i="5" a="1"/>
  <c r="M38" i="5" s="1"/>
  <c r="I38" i="5"/>
  <c r="M37" i="5" a="1"/>
  <c r="M37" i="5" s="1"/>
  <c r="I37" i="5"/>
  <c r="M36" i="5" a="1"/>
  <c r="M36" i="5" s="1"/>
  <c r="I36" i="5"/>
  <c r="M35" i="5" a="1"/>
  <c r="M35" i="5" s="1"/>
  <c r="I35" i="5"/>
  <c r="M34" i="5" a="1"/>
  <c r="M34" i="5" s="1"/>
  <c r="I34" i="5"/>
  <c r="M33" i="5" a="1"/>
  <c r="M33" i="5" s="1"/>
  <c r="I33" i="5"/>
  <c r="M32" i="5" a="1"/>
  <c r="M32" i="5" s="1"/>
  <c r="I32" i="5"/>
  <c r="M31" i="5" a="1"/>
  <c r="M31" i="5" s="1"/>
  <c r="I31" i="5"/>
  <c r="M30" i="5" a="1"/>
  <c r="M30" i="5" s="1"/>
  <c r="I30" i="5"/>
  <c r="M29" i="5" a="1"/>
  <c r="M29" i="5" s="1"/>
  <c r="I29" i="5"/>
  <c r="M28" i="5" a="1"/>
  <c r="M28" i="5" s="1"/>
  <c r="I28" i="5"/>
  <c r="M27" i="5" a="1"/>
  <c r="M27" i="5" s="1"/>
  <c r="I27" i="5"/>
  <c r="M26" i="5" a="1"/>
  <c r="M26" i="5" s="1"/>
  <c r="I26" i="5"/>
  <c r="M25" i="5" a="1"/>
  <c r="M25" i="5" s="1"/>
  <c r="I25" i="5"/>
  <c r="M24" i="5" a="1"/>
  <c r="M24" i="5" s="1"/>
  <c r="I24" i="5"/>
  <c r="M23" i="5" a="1"/>
  <c r="M23" i="5" s="1"/>
  <c r="I23" i="5"/>
  <c r="M22" i="5" a="1"/>
  <c r="M22" i="5" s="1"/>
  <c r="I22" i="5"/>
  <c r="M21" i="5" a="1"/>
  <c r="M21" i="5" s="1"/>
  <c r="I21" i="5"/>
  <c r="M20" i="5" a="1"/>
  <c r="M20" i="5" s="1"/>
  <c r="I20" i="5"/>
  <c r="M19" i="5" a="1"/>
  <c r="M19" i="5" s="1"/>
  <c r="I19" i="5"/>
  <c r="M18" i="5" a="1"/>
  <c r="M18" i="5" s="1"/>
  <c r="I18" i="5"/>
  <c r="M17" i="5" a="1"/>
  <c r="M17" i="5" s="1"/>
  <c r="I17" i="5"/>
  <c r="M16" i="5" a="1"/>
  <c r="M16" i="5" s="1"/>
  <c r="I16" i="5"/>
  <c r="M15" i="5" a="1"/>
  <c r="M15" i="5" s="1"/>
  <c r="I15" i="5"/>
  <c r="M14" i="5" a="1"/>
  <c r="M14" i="5" s="1"/>
  <c r="I14" i="5"/>
  <c r="M13" i="5" a="1"/>
  <c r="M13" i="5" s="1"/>
  <c r="I13" i="5"/>
  <c r="M12" i="5" a="1"/>
  <c r="M12" i="5" s="1"/>
  <c r="I12" i="5"/>
  <c r="M11" i="5" a="1"/>
  <c r="M11" i="5" s="1"/>
  <c r="I11" i="5"/>
  <c r="M10" i="5" a="1"/>
  <c r="M10" i="5" s="1"/>
  <c r="I10" i="5"/>
  <c r="M9" i="5" a="1"/>
  <c r="M9" i="5" s="1"/>
  <c r="I9" i="5"/>
  <c r="M8" i="5" a="1"/>
  <c r="M8" i="5" s="1"/>
  <c r="I8" i="5"/>
  <c r="M7" i="5" a="1"/>
  <c r="M7" i="5" s="1"/>
  <c r="I7" i="5"/>
  <c r="M6" i="5" a="1"/>
  <c r="M6" i="5" s="1"/>
  <c r="I6" i="5"/>
  <c r="M5" i="5" a="1"/>
  <c r="M5" i="5" s="1"/>
  <c r="I5" i="5"/>
  <c r="M4" i="5" a="1"/>
  <c r="M4" i="5" s="1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7" i="2"/>
  <c r="E4" i="2"/>
  <c r="D4" i="2"/>
  <c r="G4" i="2" s="1"/>
  <c r="K11" i="5" l="1"/>
  <c r="K9" i="5"/>
  <c r="K8" i="5"/>
  <c r="K4" i="5"/>
  <c r="F4" i="2"/>
  <c r="B5" i="2"/>
  <c r="E5" i="2" s="1"/>
  <c r="C5" i="2"/>
  <c r="D5" i="2" s="1"/>
  <c r="G5" i="2" s="1"/>
  <c r="K42" i="5"/>
  <c r="K7" i="5"/>
  <c r="L7" i="5" s="1"/>
  <c r="K38" i="5"/>
  <c r="K30" i="5"/>
  <c r="L30" i="5" s="1"/>
  <c r="K22" i="5"/>
  <c r="L22" i="5" s="1"/>
  <c r="K14" i="5"/>
  <c r="K6" i="5"/>
  <c r="K13" i="5"/>
  <c r="K5" i="5"/>
  <c r="K12" i="5"/>
  <c r="K33" i="5"/>
  <c r="L33" i="5" s="1"/>
  <c r="K41" i="5"/>
  <c r="K25" i="5"/>
  <c r="K40" i="5"/>
  <c r="L40" i="5" s="1"/>
  <c r="K32" i="5"/>
  <c r="L32" i="5" s="1"/>
  <c r="K24" i="5"/>
  <c r="L24" i="5" s="1"/>
  <c r="K16" i="5"/>
  <c r="L16" i="5" s="1"/>
  <c r="K39" i="5"/>
  <c r="L39" i="5" s="1"/>
  <c r="K31" i="5"/>
  <c r="L31" i="5" s="1"/>
  <c r="K23" i="5"/>
  <c r="L23" i="5" s="1"/>
  <c r="K15" i="5"/>
  <c r="K29" i="5"/>
  <c r="L29" i="5" s="1"/>
  <c r="K21" i="5"/>
  <c r="L21" i="5" s="1"/>
  <c r="K36" i="5"/>
  <c r="L36" i="5" s="1"/>
  <c r="K20" i="5"/>
  <c r="L20" i="5" s="1"/>
  <c r="L12" i="5"/>
  <c r="K43" i="5"/>
  <c r="L43" i="5" s="1"/>
  <c r="K27" i="5"/>
  <c r="L27" i="5" s="1"/>
  <c r="K34" i="5"/>
  <c r="L34" i="5" s="1"/>
  <c r="K26" i="5"/>
  <c r="L26" i="5" s="1"/>
  <c r="K18" i="5"/>
  <c r="L18" i="5" s="1"/>
  <c r="K10" i="5"/>
  <c r="L10" i="5" s="1"/>
  <c r="K37" i="5"/>
  <c r="L37" i="5" s="1"/>
  <c r="K28" i="5"/>
  <c r="L28" i="5" s="1"/>
  <c r="K35" i="5"/>
  <c r="L35" i="5" s="1"/>
  <c r="K19" i="5"/>
  <c r="L19" i="5" s="1"/>
  <c r="K17" i="5"/>
  <c r="L17" i="5" s="1"/>
  <c r="L5" i="5"/>
  <c r="L25" i="5"/>
  <c r="L41" i="5"/>
  <c r="L42" i="5"/>
  <c r="L9" i="5"/>
  <c r="L13" i="5"/>
  <c r="L14" i="5"/>
  <c r="L11" i="5"/>
  <c r="L8" i="5"/>
  <c r="L6" i="5"/>
  <c r="L4" i="5"/>
  <c r="L38" i="5"/>
  <c r="L15" i="5"/>
  <c r="F5" i="2" l="1"/>
  <c r="C6" i="2"/>
  <c r="B6" i="2"/>
  <c r="E6" i="2" s="1"/>
  <c r="D6" i="2" l="1"/>
  <c r="G6" i="2" s="1"/>
  <c r="F6" i="2" l="1"/>
  <c r="B7" i="2"/>
  <c r="E7" i="2" s="1"/>
  <c r="C7" i="2"/>
  <c r="D7" i="2" l="1"/>
  <c r="G7" i="2" s="1"/>
  <c r="F7" i="2" l="1"/>
  <c r="B8" i="2"/>
  <c r="E8" i="2" s="1"/>
  <c r="C8" i="2"/>
  <c r="D8" i="2" l="1"/>
  <c r="G8" i="2" s="1"/>
  <c r="F8" i="2" l="1"/>
  <c r="B9" i="2"/>
  <c r="C9" i="2"/>
  <c r="E9" i="2"/>
  <c r="D9" i="2" l="1"/>
  <c r="G9" i="2" s="1"/>
  <c r="F9" i="2" l="1"/>
  <c r="B10" i="2"/>
  <c r="E10" i="2" s="1"/>
  <c r="C10" i="2"/>
  <c r="D10" i="2" l="1"/>
  <c r="G10" i="2" s="1"/>
  <c r="F10" i="2" l="1"/>
  <c r="B11" i="2"/>
  <c r="C11" i="2"/>
  <c r="E11" i="2"/>
  <c r="D11" i="2" l="1"/>
  <c r="G11" i="2" s="1"/>
  <c r="F11" i="2" l="1"/>
  <c r="B12" i="2" s="1"/>
  <c r="E12" i="2" s="1"/>
  <c r="C12" i="2" l="1"/>
  <c r="D12" i="2"/>
  <c r="G12" i="2" s="1"/>
  <c r="F12" i="2" l="1"/>
  <c r="B13" i="2"/>
  <c r="E13" i="2" s="1"/>
  <c r="C13" i="2"/>
  <c r="D13" i="2" l="1"/>
  <c r="G13" i="2" s="1"/>
  <c r="F13" i="2" l="1"/>
  <c r="B14" i="2"/>
  <c r="E14" i="2" s="1"/>
  <c r="C14" i="2"/>
  <c r="D14" i="2" l="1"/>
  <c r="G14" i="2" s="1"/>
  <c r="F14" i="2" l="1"/>
  <c r="B15" i="2" s="1"/>
  <c r="E15" i="2" s="1"/>
  <c r="C15" i="2"/>
  <c r="D15" i="2" l="1"/>
  <c r="G15" i="2" s="1"/>
  <c r="F15" i="2" l="1"/>
  <c r="B16" i="2" s="1"/>
  <c r="E16" i="2" s="1"/>
  <c r="C16" i="2"/>
  <c r="D16" i="2" l="1"/>
  <c r="G16" i="2" s="1"/>
  <c r="F16" i="2" l="1"/>
  <c r="B17" i="2" s="1"/>
  <c r="E17" i="2" s="1"/>
  <c r="C17" i="2" l="1"/>
  <c r="D17" i="2"/>
  <c r="G17" i="2" s="1"/>
  <c r="F17" i="2" l="1"/>
  <c r="B18" i="2"/>
  <c r="E18" i="2" s="1"/>
  <c r="C18" i="2"/>
  <c r="D18" i="2" l="1"/>
  <c r="G18" i="2" s="1"/>
  <c r="F18" i="2" l="1"/>
  <c r="B19" i="2"/>
  <c r="E19" i="2" s="1"/>
  <c r="C19" i="2"/>
  <c r="D19" i="2" l="1"/>
  <c r="G19" i="2" s="1"/>
  <c r="F19" i="2" l="1"/>
  <c r="B20" i="2" s="1"/>
  <c r="E20" i="2" s="1"/>
  <c r="C20" i="2"/>
  <c r="D20" i="2" l="1"/>
  <c r="G20" i="2" s="1"/>
  <c r="F20" i="2" l="1"/>
  <c r="B21" i="2" s="1"/>
  <c r="E21" i="2" s="1"/>
  <c r="C21" i="2" l="1"/>
  <c r="D21" i="2" s="1"/>
  <c r="G21" i="2" s="1"/>
  <c r="F21" i="2" l="1"/>
  <c r="B22" i="2"/>
  <c r="E22" i="2" s="1"/>
  <c r="C22" i="2"/>
  <c r="D22" i="2" l="1"/>
  <c r="G22" i="2" s="1"/>
  <c r="F22" i="2" l="1"/>
  <c r="B23" i="2"/>
  <c r="E23" i="2" s="1"/>
  <c r="C23" i="2"/>
  <c r="D23" i="2" l="1"/>
  <c r="G23" i="2" s="1"/>
  <c r="F23" i="2" l="1"/>
  <c r="B24" i="2"/>
  <c r="C24" i="2"/>
  <c r="E24" i="2"/>
  <c r="D24" i="2" l="1"/>
  <c r="G24" i="2" s="1"/>
  <c r="F24" i="2" l="1"/>
  <c r="B25" i="2"/>
  <c r="E25" i="2" s="1"/>
  <c r="C25" i="2"/>
  <c r="D25" i="2" l="1"/>
  <c r="G25" i="2" s="1"/>
  <c r="F25" i="2" l="1"/>
  <c r="B26" i="2"/>
  <c r="E26" i="2" s="1"/>
  <c r="C26" i="2"/>
  <c r="D26" i="2" l="1"/>
  <c r="G26" i="2" s="1"/>
  <c r="F26" i="2" l="1"/>
  <c r="B27" i="2"/>
  <c r="E27" i="2" s="1"/>
  <c r="C27" i="2"/>
  <c r="D27" i="2" l="1"/>
  <c r="G27" i="2" s="1"/>
  <c r="F27" i="2" l="1"/>
  <c r="B28" i="2"/>
  <c r="E28" i="2" s="1"/>
  <c r="C28" i="2"/>
  <c r="D28" i="2" l="1"/>
  <c r="G28" i="2" s="1"/>
  <c r="F28" i="2" l="1"/>
  <c r="B29" i="2" s="1"/>
  <c r="E29" i="2" s="1"/>
  <c r="C29" i="2"/>
  <c r="D29" i="2" l="1"/>
  <c r="G29" i="2" s="1"/>
  <c r="F29" i="2" l="1"/>
  <c r="B30" i="2"/>
  <c r="C30" i="2"/>
  <c r="E30" i="2"/>
  <c r="D30" i="2" l="1"/>
  <c r="G30" i="2" s="1"/>
  <c r="F30" i="2" l="1"/>
  <c r="B31" i="2"/>
  <c r="E31" i="2" s="1"/>
  <c r="C31" i="2"/>
  <c r="D31" i="2" l="1"/>
  <c r="G31" i="2" s="1"/>
  <c r="F31" i="2" l="1"/>
  <c r="B32" i="2"/>
  <c r="E32" i="2" s="1"/>
  <c r="C32" i="2"/>
  <c r="D32" i="2" l="1"/>
  <c r="G32" i="2" s="1"/>
  <c r="F32" i="2" l="1"/>
  <c r="B33" i="2"/>
  <c r="E33" i="2" s="1"/>
  <c r="C33" i="2"/>
  <c r="D33" i="2" l="1"/>
  <c r="G33" i="2" s="1"/>
  <c r="H19" i="1"/>
  <c r="R13" i="1"/>
  <c r="N12" i="1"/>
  <c r="U4" i="1"/>
  <c r="I19" i="1"/>
  <c r="Q14" i="1"/>
  <c r="V12" i="1"/>
  <c r="J12" i="1"/>
  <c r="T16" i="1"/>
  <c r="T7" i="1"/>
  <c r="R7" i="1"/>
  <c r="N11" i="1"/>
  <c r="N13" i="1"/>
  <c r="B18" i="1"/>
  <c r="F8" i="1"/>
  <c r="M9" i="1"/>
  <c r="J3" i="1"/>
  <c r="U16" i="1"/>
  <c r="M20" i="1"/>
  <c r="H8" i="1"/>
  <c r="Q13" i="1"/>
  <c r="E13" i="1"/>
  <c r="V11" i="1"/>
  <c r="N6" i="1"/>
  <c r="I10" i="1"/>
  <c r="B10" i="1"/>
  <c r="Q7" i="1"/>
  <c r="M11" i="1"/>
  <c r="K18" i="1"/>
  <c r="N5" i="1"/>
  <c r="E20" i="1"/>
  <c r="V15" i="1"/>
  <c r="U10" i="1"/>
  <c r="L7" i="1"/>
  <c r="S16" i="1"/>
  <c r="L2" i="1"/>
  <c r="Q8" i="1"/>
  <c r="I15" i="1"/>
  <c r="E12" i="1"/>
  <c r="B14" i="1"/>
  <c r="N15" i="1"/>
  <c r="V9" i="1"/>
  <c r="R16" i="1"/>
  <c r="G6" i="1"/>
  <c r="S8" i="1"/>
  <c r="S7" i="1"/>
  <c r="U15" i="1"/>
  <c r="Q15" i="1"/>
  <c r="P4" i="1"/>
  <c r="N22" i="1"/>
  <c r="H11" i="1"/>
  <c r="B6" i="1"/>
  <c r="D17" i="1"/>
  <c r="K7" i="1"/>
  <c r="P20" i="1"/>
  <c r="G18" i="1"/>
  <c r="B13" i="1"/>
  <c r="P21" i="1"/>
  <c r="E22" i="1"/>
  <c r="V13" i="1"/>
  <c r="K20" i="1"/>
  <c r="D21" i="1"/>
  <c r="J20" i="1"/>
  <c r="I20" i="1"/>
  <c r="R22" i="1"/>
  <c r="L18" i="1"/>
  <c r="Q16" i="1"/>
  <c r="H3" i="1"/>
  <c r="K21" i="1"/>
  <c r="M3" i="1"/>
  <c r="B15" i="1"/>
  <c r="H17" i="1"/>
  <c r="C15" i="1"/>
  <c r="J10" i="1"/>
  <c r="T11" i="1"/>
  <c r="B22" i="1"/>
  <c r="N14" i="1"/>
  <c r="O15" i="1"/>
  <c r="M5" i="1"/>
  <c r="V10" i="1"/>
  <c r="Q4" i="1"/>
  <c r="V3" i="1"/>
  <c r="J6" i="1"/>
  <c r="J22" i="1"/>
  <c r="F20" i="1"/>
  <c r="F3" i="1"/>
  <c r="D9" i="1"/>
  <c r="G8" i="1"/>
  <c r="M12" i="1"/>
  <c r="T3" i="1"/>
  <c r="B8" i="1"/>
  <c r="C4" i="1"/>
  <c r="N18" i="1"/>
  <c r="T14" i="1"/>
  <c r="C3" i="1"/>
  <c r="G17" i="1"/>
  <c r="O16" i="1"/>
  <c r="M4" i="1"/>
  <c r="G9" i="1"/>
  <c r="Q5" i="1"/>
  <c r="I4" i="1"/>
  <c r="E9" i="1"/>
  <c r="B20" i="1"/>
  <c r="L4" i="1"/>
  <c r="U11" i="1"/>
  <c r="F5" i="1"/>
  <c r="P14" i="1"/>
  <c r="H2" i="1"/>
  <c r="F4" i="1"/>
  <c r="R3" i="1"/>
  <c r="I17" i="1"/>
  <c r="R18" i="1"/>
  <c r="P3" i="1"/>
  <c r="G4" i="1"/>
  <c r="S11" i="1"/>
  <c r="I9" i="1"/>
  <c r="G15" i="1"/>
  <c r="R4" i="1"/>
  <c r="F11" i="1"/>
  <c r="T5" i="1"/>
  <c r="U5" i="1"/>
  <c r="I7" i="1"/>
  <c r="L20" i="1"/>
  <c r="V21" i="1"/>
  <c r="P13" i="1"/>
  <c r="E15" i="1"/>
  <c r="G13" i="1"/>
  <c r="M17" i="1"/>
  <c r="N19" i="1"/>
  <c r="T4" i="1"/>
  <c r="G16" i="1"/>
  <c r="E16" i="1"/>
  <c r="P8" i="1"/>
  <c r="J14" i="1"/>
  <c r="E11" i="1"/>
  <c r="C14" i="1"/>
  <c r="Q19" i="1"/>
  <c r="V5" i="1"/>
  <c r="S21" i="1"/>
  <c r="I2" i="1"/>
  <c r="R12" i="1"/>
  <c r="J19" i="1"/>
  <c r="C2" i="1"/>
  <c r="V7" i="1"/>
  <c r="D4" i="1"/>
  <c r="F10" i="1"/>
  <c r="F14" i="1"/>
  <c r="R14" i="1"/>
  <c r="G19" i="1"/>
  <c r="M2" i="1"/>
  <c r="K19" i="1"/>
  <c r="M14" i="1"/>
  <c r="E8" i="1"/>
  <c r="H9" i="1"/>
  <c r="H20" i="1"/>
  <c r="E18" i="1"/>
  <c r="O10" i="1"/>
  <c r="I16" i="1"/>
  <c r="Q9" i="1"/>
  <c r="V16" i="1"/>
  <c r="C7" i="1"/>
  <c r="F19" i="1"/>
  <c r="I21" i="1"/>
  <c r="B11" i="1"/>
  <c r="B7" i="1"/>
  <c r="D12" i="1"/>
  <c r="S22" i="1"/>
  <c r="S17" i="1"/>
  <c r="F7" i="1"/>
  <c r="J2" i="1"/>
  <c r="P2" i="1"/>
  <c r="S5" i="1"/>
  <c r="J21" i="1"/>
  <c r="J15" i="1"/>
  <c r="S2" i="1"/>
  <c r="Q3" i="1"/>
  <c r="M7" i="1"/>
  <c r="E6" i="1"/>
  <c r="C19" i="1"/>
  <c r="D11" i="1"/>
  <c r="R19" i="1"/>
  <c r="R6" i="1"/>
  <c r="M16" i="1"/>
  <c r="N10" i="1"/>
  <c r="L17" i="1"/>
  <c r="H15" i="1"/>
  <c r="Q18" i="1"/>
  <c r="F16" i="1"/>
  <c r="E7" i="1"/>
  <c r="M8" i="1"/>
  <c r="D13" i="1"/>
  <c r="K8" i="1"/>
  <c r="K4" i="1"/>
  <c r="G10" i="1"/>
  <c r="U18" i="1"/>
  <c r="B9" i="1"/>
  <c r="H5" i="1"/>
  <c r="C11" i="1"/>
  <c r="D14" i="1"/>
  <c r="L21" i="1"/>
  <c r="K3" i="1"/>
  <c r="T19" i="1"/>
  <c r="P18" i="1"/>
  <c r="R11" i="1"/>
  <c r="S19" i="1"/>
  <c r="V4" i="1"/>
  <c r="H18" i="1"/>
  <c r="I11" i="1"/>
  <c r="K22" i="1"/>
  <c r="L3" i="1"/>
  <c r="T6" i="1"/>
  <c r="U21" i="1"/>
  <c r="C8" i="1"/>
  <c r="P22" i="1"/>
  <c r="D18" i="1"/>
  <c r="B3" i="1"/>
  <c r="T9" i="1"/>
  <c r="Q20" i="1"/>
  <c r="V19" i="1"/>
  <c r="Q10" i="1"/>
  <c r="M18" i="1"/>
  <c r="N2" i="1"/>
  <c r="S6" i="1"/>
  <c r="V20" i="1"/>
  <c r="D20" i="1"/>
  <c r="O14" i="1"/>
  <c r="H13" i="1"/>
  <c r="T20" i="1"/>
  <c r="K2" i="1"/>
  <c r="T17" i="1"/>
  <c r="H14" i="1"/>
  <c r="G12" i="1"/>
  <c r="U9" i="1"/>
  <c r="P15" i="1"/>
  <c r="R9" i="1"/>
  <c r="G22" i="1"/>
  <c r="K9" i="1"/>
  <c r="O22" i="1"/>
  <c r="O8" i="1"/>
  <c r="V2" i="1"/>
  <c r="N16" i="1"/>
  <c r="P7" i="1"/>
  <c r="L6" i="1"/>
  <c r="C5" i="1"/>
  <c r="V8" i="1"/>
  <c r="N8" i="1"/>
  <c r="U14" i="1"/>
  <c r="D8" i="1"/>
  <c r="D15" i="1"/>
  <c r="N3" i="1"/>
  <c r="T18" i="1"/>
  <c r="F18" i="1"/>
  <c r="M6" i="1"/>
  <c r="C12" i="1"/>
  <c r="I22" i="1"/>
  <c r="V6" i="1"/>
  <c r="J13" i="1"/>
  <c r="T15" i="1"/>
  <c r="N20" i="1"/>
  <c r="B2" i="1"/>
  <c r="I18" i="1"/>
  <c r="D22" i="1"/>
  <c r="R21" i="1"/>
  <c r="H7" i="1"/>
  <c r="J5" i="1"/>
  <c r="O3" i="1"/>
  <c r="V14" i="1"/>
  <c r="H21" i="1"/>
  <c r="D19" i="1"/>
  <c r="C18" i="1"/>
  <c r="H4" i="1"/>
  <c r="B5" i="1"/>
  <c r="T2" i="1"/>
  <c r="L8" i="1"/>
  <c r="L16" i="1"/>
  <c r="V22" i="1"/>
  <c r="F21" i="1"/>
  <c r="U3" i="1"/>
  <c r="L19" i="1"/>
  <c r="B21" i="1"/>
  <c r="L11" i="1"/>
  <c r="O21" i="1"/>
  <c r="K6" i="1"/>
  <c r="C6" i="1"/>
  <c r="Q21" i="1"/>
  <c r="L9" i="1"/>
  <c r="P19" i="1"/>
  <c r="O5" i="1"/>
  <c r="H12" i="1"/>
  <c r="R20" i="1"/>
  <c r="L12" i="1"/>
  <c r="F9" i="1"/>
  <c r="S3" i="1"/>
  <c r="O12" i="1"/>
  <c r="S18" i="1"/>
  <c r="E17" i="1"/>
  <c r="M19" i="1"/>
  <c r="V17" i="1"/>
  <c r="O4" i="1"/>
  <c r="P12" i="1"/>
  <c r="M22" i="1"/>
  <c r="D16" i="1"/>
  <c r="P17" i="1"/>
  <c r="E21" i="1"/>
  <c r="I8" i="1"/>
  <c r="J11" i="1"/>
  <c r="P11" i="1"/>
  <c r="F15" i="1"/>
  <c r="U6" i="1"/>
  <c r="O18" i="1"/>
  <c r="C16" i="1"/>
  <c r="U19" i="1"/>
  <c r="I12" i="1"/>
  <c r="N17" i="1"/>
  <c r="J16" i="1"/>
  <c r="E19" i="1"/>
  <c r="B19" i="1"/>
  <c r="V18" i="1"/>
  <c r="J18" i="1"/>
  <c r="F17" i="1"/>
  <c r="J17" i="1"/>
  <c r="Q11" i="1"/>
  <c r="T22" i="1"/>
  <c r="M10" i="1"/>
  <c r="G2" i="1"/>
  <c r="E4" i="1"/>
  <c r="P10" i="1"/>
  <c r="E5" i="1"/>
  <c r="T10" i="1"/>
  <c r="R5" i="1"/>
  <c r="G11" i="1"/>
  <c r="T21" i="1"/>
  <c r="M21" i="1"/>
  <c r="H10" i="1"/>
  <c r="P6" i="1"/>
  <c r="S20" i="1"/>
  <c r="J8" i="1"/>
  <c r="K11" i="1"/>
  <c r="J4" i="1"/>
  <c r="S12" i="1"/>
  <c r="C22" i="1"/>
  <c r="U22" i="1"/>
  <c r="T8" i="1"/>
  <c r="B16" i="1"/>
  <c r="L15" i="1"/>
  <c r="B17" i="1"/>
  <c r="J7" i="1"/>
  <c r="O7" i="1"/>
  <c r="P9" i="1"/>
  <c r="K14" i="1"/>
  <c r="C21" i="1"/>
  <c r="R10" i="1"/>
  <c r="U13" i="1"/>
  <c r="H16" i="1"/>
  <c r="L5" i="1"/>
  <c r="F22" i="1"/>
  <c r="D3" i="1"/>
  <c r="R8" i="1"/>
  <c r="K10" i="1"/>
  <c r="F12" i="1"/>
  <c r="G5" i="1"/>
  <c r="D5" i="1"/>
  <c r="H22" i="1"/>
  <c r="C9" i="1"/>
  <c r="O20" i="1"/>
  <c r="I6" i="1"/>
  <c r="Q17" i="1"/>
  <c r="C20" i="1"/>
  <c r="T13" i="1"/>
  <c r="M13" i="1"/>
  <c r="N4" i="1"/>
  <c r="G20" i="1"/>
  <c r="I3" i="1"/>
  <c r="S4" i="1"/>
  <c r="K13" i="1"/>
  <c r="R17" i="1"/>
  <c r="K15" i="1"/>
  <c r="E3" i="1"/>
  <c r="D7" i="1"/>
  <c r="I14" i="1"/>
  <c r="E10" i="1"/>
  <c r="O9" i="1"/>
  <c r="K16" i="1"/>
  <c r="C13" i="1"/>
  <c r="S13" i="1"/>
  <c r="O17" i="1"/>
  <c r="O2" i="1"/>
  <c r="H6" i="1"/>
  <c r="K5" i="1"/>
  <c r="O6" i="1"/>
  <c r="L10" i="1"/>
  <c r="C10" i="1"/>
  <c r="F2" i="1"/>
  <c r="P5" i="1"/>
  <c r="S9" i="1"/>
  <c r="D10" i="1"/>
  <c r="N7" i="1"/>
  <c r="G21" i="1"/>
  <c r="N21" i="1"/>
  <c r="D6" i="1"/>
  <c r="L13" i="1"/>
  <c r="O19" i="1"/>
  <c r="R15" i="1"/>
  <c r="Q12" i="1"/>
  <c r="Q22" i="1"/>
  <c r="T12" i="1"/>
  <c r="U20" i="1"/>
  <c r="Q2" i="1"/>
  <c r="K17" i="1"/>
  <c r="U17" i="1"/>
  <c r="C17" i="1"/>
  <c r="G3" i="1"/>
  <c r="S10" i="1"/>
  <c r="R2" i="1"/>
  <c r="B4" i="1"/>
  <c r="I13" i="1"/>
  <c r="K12" i="1"/>
  <c r="Q6" i="1"/>
  <c r="I5" i="1"/>
  <c r="E2" i="1"/>
  <c r="L22" i="1"/>
  <c r="G14" i="1"/>
  <c r="S15" i="1"/>
  <c r="E14" i="1"/>
  <c r="U12" i="1"/>
  <c r="U7" i="1"/>
  <c r="B12" i="1"/>
  <c r="N9" i="1"/>
  <c r="F6" i="1"/>
  <c r="O13" i="1"/>
  <c r="G7" i="1"/>
  <c r="L14" i="1"/>
  <c r="P16" i="1"/>
  <c r="S14" i="1"/>
  <c r="U2" i="1"/>
  <c r="M15" i="1"/>
  <c r="O11" i="1"/>
  <c r="J9" i="1"/>
  <c r="D2" i="1"/>
  <c r="F13" i="1"/>
  <c r="U8" i="1"/>
  <c r="F33" i="2" l="1"/>
  <c r="L4" i="2"/>
  <c r="C34" i="2" l="1"/>
  <c r="B34" i="2"/>
  <c r="E34" i="2" l="1"/>
  <c r="D34" i="2"/>
  <c r="G34" i="2" s="1"/>
  <c r="F34" i="2" l="1"/>
  <c r="B35" i="2" s="1"/>
  <c r="E35" i="2" s="1"/>
  <c r="C35" i="2" l="1"/>
  <c r="D35" i="2" l="1"/>
  <c r="G35" i="2" s="1"/>
  <c r="F35" i="2" l="1"/>
  <c r="B36" i="2"/>
  <c r="E36" i="2" s="1"/>
  <c r="C36" i="2"/>
  <c r="D36" i="2" l="1"/>
  <c r="G36" i="2" s="1"/>
  <c r="F36" i="2" l="1"/>
  <c r="B37" i="2"/>
  <c r="E37" i="2" s="1"/>
  <c r="C37" i="2"/>
  <c r="D37" i="2" l="1"/>
  <c r="G37" i="2" s="1"/>
  <c r="F37" i="2" l="1"/>
  <c r="B38" i="2"/>
  <c r="E38" i="2" s="1"/>
  <c r="C38" i="2"/>
  <c r="D38" i="2" l="1"/>
  <c r="G38" i="2" s="1"/>
  <c r="F38" i="2" l="1"/>
  <c r="B39" i="2"/>
  <c r="E39" i="2" s="1"/>
  <c r="C39" i="2"/>
  <c r="D39" i="2" l="1"/>
  <c r="G39" i="2" s="1"/>
  <c r="F39" i="2" l="1"/>
  <c r="B40" i="2"/>
  <c r="E40" i="2" s="1"/>
  <c r="C40" i="2"/>
  <c r="D40" i="2" l="1"/>
  <c r="G40" i="2" s="1"/>
  <c r="F40" i="2" l="1"/>
  <c r="B41" i="2"/>
  <c r="E41" i="2" s="1"/>
  <c r="C41" i="2"/>
  <c r="D41" i="2" l="1"/>
  <c r="G41" i="2" s="1"/>
  <c r="F41" i="2" l="1"/>
  <c r="B42" i="2"/>
  <c r="E42" i="2" s="1"/>
  <c r="C42" i="2"/>
  <c r="D42" i="2" l="1"/>
  <c r="G42" i="2" s="1"/>
  <c r="F42" i="2" l="1"/>
  <c r="B43" i="2"/>
  <c r="E43" i="2" s="1"/>
  <c r="C43" i="2"/>
  <c r="D43" i="2" l="1"/>
  <c r="G43" i="2" s="1"/>
  <c r="F43" i="2" l="1"/>
</calcChain>
</file>

<file path=xl/sharedStrings.xml><?xml version="1.0" encoding="utf-8"?>
<sst xmlns="http://schemas.openxmlformats.org/spreadsheetml/2006/main" count="133" uniqueCount="80">
  <si>
    <t>x/y</t>
  </si>
  <si>
    <t xml:space="preserve">Уравнение: </t>
  </si>
  <si>
    <t>x^3-2x-2=0</t>
  </si>
  <si>
    <t>Корень:</t>
  </si>
  <si>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</rPr>
      <t xml:space="preserve"> 1,77</t>
    </r>
  </si>
  <si>
    <t>i</t>
  </si>
  <si>
    <t>a</t>
  </si>
  <si>
    <t>x</t>
  </si>
  <si>
    <t>b</t>
  </si>
  <si>
    <t>f(a)</t>
  </si>
  <si>
    <t>f(x)</t>
  </si>
  <si>
    <t>e=</t>
  </si>
  <si>
    <t>x=</t>
  </si>
  <si>
    <t>Группа</t>
  </si>
  <si>
    <t>ФИО</t>
  </si>
  <si>
    <t>Иностранный язык</t>
  </si>
  <si>
    <t>Информатика</t>
  </si>
  <si>
    <t>Математический анализ</t>
  </si>
  <si>
    <t>Философия</t>
  </si>
  <si>
    <t>Стипендия</t>
  </si>
  <si>
    <t>Надбавка</t>
  </si>
  <si>
    <t>Стипендиальная ведомость потока студентов</t>
  </si>
  <si>
    <t xml:space="preserve"> Студент</t>
  </si>
  <si>
    <t>Оценки по предметам</t>
  </si>
  <si>
    <t>№</t>
  </si>
  <si>
    <t>Ср. балл</t>
  </si>
  <si>
    <t>Базовая</t>
  </si>
  <si>
    <t>Итог</t>
  </si>
  <si>
    <t>Успеваемость</t>
  </si>
  <si>
    <t>ПМ-41</t>
  </si>
  <si>
    <t>ПМ-42</t>
  </si>
  <si>
    <t xml:space="preserve">Китайский </t>
  </si>
  <si>
    <t>Рогов Корней Германович</t>
  </si>
  <si>
    <t>Кононов Велор Улебович</t>
  </si>
  <si>
    <t>Исаев Степан Аркадьевич</t>
  </si>
  <si>
    <t>Носков Герман Максович</t>
  </si>
  <si>
    <t>Степанов Федор Иванович</t>
  </si>
  <si>
    <t>Герасимов Аверьян Даниилович</t>
  </si>
  <si>
    <t>Гуляев Вячеслав Витальевич</t>
  </si>
  <si>
    <t>Фомичёв Арсений Глебович</t>
  </si>
  <si>
    <t>Суханов Архип Иванович</t>
  </si>
  <si>
    <t>Веселов Мартын Альбертович</t>
  </si>
  <si>
    <t>Носкова Алиса Геннадьевна</t>
  </si>
  <si>
    <t>Логинова Ландыш Тимуровна</t>
  </si>
  <si>
    <t>Агафонова Святослава Парфеньевна</t>
  </si>
  <si>
    <t>Афанасьева Георгина Парфеньевна</t>
  </si>
  <si>
    <t>Михеева Изабелла Альбертовна</t>
  </si>
  <si>
    <t>Попова Крис Германовна</t>
  </si>
  <si>
    <t>Макарова Алика Тимуровна</t>
  </si>
  <si>
    <t>Якушева Властилина Витальевна</t>
  </si>
  <si>
    <t>Уварова Кира Яковлевна</t>
  </si>
  <si>
    <t>Юдина Августина Альвиановна</t>
  </si>
  <si>
    <t>Пестова Артемида Тимуровна</t>
  </si>
  <si>
    <t>Никитина Феодосия Владленовна</t>
  </si>
  <si>
    <t>Антонова Виргиния Валерьяновна</t>
  </si>
  <si>
    <t>Савельева Джема Вадимовна</t>
  </si>
  <si>
    <t>Савельева Юлия Павловна</t>
  </si>
  <si>
    <t>Воробьёва Фелиция Дмитриевна</t>
  </si>
  <si>
    <t>Архипова Николь Степановна</t>
  </si>
  <si>
    <t>Цветкова Янита Пётровна</t>
  </si>
  <si>
    <t>Куликова Лунара Еремеевна</t>
  </si>
  <si>
    <t>Алексеева Властилина Степановна</t>
  </si>
  <si>
    <t>Ильин Витольд Мартынович</t>
  </si>
  <si>
    <t>Уваров Артем Владимирович</t>
  </si>
  <si>
    <t>Максимов Гурий Анатольевич</t>
  </si>
  <si>
    <t>Максимов Соломон Наумович</t>
  </si>
  <si>
    <t>Зуев Терентий Мартынович</t>
  </si>
  <si>
    <t>Потапов Остап Яковлевич</t>
  </si>
  <si>
    <t>Фомичёв Мечислав Александрович</t>
  </si>
  <si>
    <t>Стрелков Матвей Викторович</t>
  </si>
  <si>
    <t>Бобылёв Марк Георгиевич</t>
  </si>
  <si>
    <t>Кабанов Платон Лукьевич</t>
  </si>
  <si>
    <t>Хорошисты</t>
  </si>
  <si>
    <t>Троечники</t>
  </si>
  <si>
    <t>Двоечники</t>
  </si>
  <si>
    <t>Общий итог</t>
  </si>
  <si>
    <t>Названия строк</t>
  </si>
  <si>
    <t>Отличники</t>
  </si>
  <si>
    <t xml:space="preserve">Количество </t>
  </si>
  <si>
    <t>Точность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</si>
</sst>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pivotButton="1"/>
    <xf numFmtId="11" fontId="0" fillId="0" borderId="0" xfId="0" applyNumberFormat="1"/>
    <xf numFmtId="0" fontId="0" fillId="4" borderId="16" xfId="0" applyFill="1" applyBorder="1"/>
    <xf numFmtId="2" fontId="0" fillId="3" borderId="14" xfId="0" applyNumberFormat="1" applyFill="1" applyBorder="1"/>
    <xf numFmtId="2" fontId="0" fillId="3" borderId="15" xfId="0" applyNumberFormat="1" applyFill="1" applyBorder="1"/>
    <xf numFmtId="2" fontId="0" fillId="3" borderId="1" xfId="0" applyNumberFormat="1" applyFill="1" applyBorder="1"/>
    <xf numFmtId="2" fontId="0" fillId="0" borderId="17" xfId="0" applyNumberFormat="1" applyBorder="1"/>
    <xf numFmtId="2" fontId="0" fillId="0" borderId="18" xfId="0" applyNumberFormat="1" applyBorder="1"/>
    <xf numFmtId="2" fontId="0" fillId="0" borderId="0" xfId="0" applyNumberFormat="1"/>
    <xf numFmtId="2" fontId="0" fillId="0" borderId="20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2" fontId="0" fillId="3" borderId="24" xfId="0" applyNumberFormat="1" applyFill="1" applyBorder="1"/>
    <xf numFmtId="2" fontId="0" fillId="3" borderId="25" xfId="0" applyNumberFormat="1" applyFill="1" applyBorder="1"/>
    <xf numFmtId="2" fontId="0" fillId="3" borderId="26" xfId="0" applyNumberFormat="1" applyFill="1" applyBorder="1"/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22" xfId="0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6" borderId="2" xfId="0" applyFill="1" applyBorder="1"/>
    <xf numFmtId="0" fontId="1" fillId="7" borderId="2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right"/>
    </xf>
    <xf numFmtId="0" fontId="1" fillId="7" borderId="2" xfId="0" applyFont="1" applyFill="1" applyBorder="1"/>
    <xf numFmtId="0" fontId="1" fillId="7" borderId="8" xfId="0" applyFont="1" applyFill="1" applyBorder="1"/>
    <xf numFmtId="0" fontId="1" fillId="7" borderId="6" xfId="0" applyFont="1" applyFill="1" applyBorder="1"/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7" borderId="8" xfId="0" applyFont="1" applyFill="1" applyBorder="1" applyAlignment="1">
      <alignment horizontal="center"/>
    </xf>
    <xf numFmtId="0" fontId="1" fillId="7" borderId="9" xfId="0" applyFont="1" applyFill="1" applyBorder="1" applyAlignment="1">
      <alignment horizontal="left"/>
    </xf>
    <xf numFmtId="0" fontId="1" fillId="7" borderId="3" xfId="0" applyFont="1" applyFill="1" applyBorder="1"/>
    <xf numFmtId="0" fontId="1" fillId="7" borderId="13" xfId="0" applyFont="1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30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0" fillId="7" borderId="28" xfId="0" applyFill="1" applyBorder="1" applyAlignment="1">
      <alignment horizontal="center"/>
    </xf>
    <xf numFmtId="0" fontId="1" fillId="7" borderId="1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6" borderId="11" xfId="0" applyFill="1" applyBorder="1"/>
    <xf numFmtId="0" fontId="0" fillId="6" borderId="3" xfId="0" applyFill="1" applyBorder="1"/>
    <xf numFmtId="0" fontId="0" fillId="6" borderId="9" xfId="0" applyFill="1" applyBorder="1"/>
    <xf numFmtId="0" fontId="0" fillId="8" borderId="11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9" xfId="0" applyFill="1" applyBorder="1"/>
    <xf numFmtId="0" fontId="1" fillId="7" borderId="2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1" fillId="7" borderId="5" xfId="0" applyFont="1" applyFill="1" applyBorder="1" applyAlignment="1">
      <alignment horizontal="center"/>
    </xf>
  </cellXfs>
  <cellStyles count="1">
    <cellStyle name="Normal" xfId="0" builtinId="0"/>
  </cellStyles>
  <dxfs count="5">
    <dxf>
      <fill>
        <patternFill>
          <bgColor rgb="FFFFC7CE"/>
        </patternFill>
      </fill>
    </dxf>
    <dxf>
      <fill>
        <patternFill>
          <bgColor rgb="FF00CC66"/>
        </patternFill>
      </fill>
    </dxf>
    <dxf>
      <fill>
        <patternFill>
          <bgColor rgb="FFCCFF99"/>
        </patternFill>
      </fill>
    </dxf>
    <dxf>
      <fill>
        <patternFill>
          <bgColor rgb="FFFFCC66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7C80"/>
      <color rgb="FFFFA7A7"/>
      <color rgb="FFFF9966"/>
      <color rgb="FFFF9999"/>
      <color rgb="FFCCFF99"/>
      <color rgb="FFCCFF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f(x)=(x-1)^2(y+2)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9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2">
                <a:tint val="37000"/>
              </a:schemeClr>
            </a:solidFill>
            <a:ln/>
            <a:effectLst/>
            <a:sp3d/>
          </c:spPr>
          <c:val>
            <c:numRef>
              <c:f>Лист1!$B$2:$V$2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3-48A6-97E1-8871E656B61D}"/>
            </c:ext>
          </c:extLst>
        </c:ser>
        <c:ser>
          <c:idx val="1"/>
          <c:order val="1"/>
          <c:spPr>
            <a:solidFill>
              <a:schemeClr val="accent2">
                <a:tint val="43000"/>
              </a:schemeClr>
            </a:solidFill>
            <a:ln/>
            <a:effectLst/>
            <a:sp3d/>
          </c:spPr>
          <c:val>
            <c:numRef>
              <c:f>Лист1!$B$3:$V$3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13-48A6-97E1-8871E656B61D}"/>
            </c:ext>
          </c:extLst>
        </c:ser>
        <c:ser>
          <c:idx val="2"/>
          <c:order val="2"/>
          <c:spPr>
            <a:solidFill>
              <a:schemeClr val="accent2">
                <a:tint val="50000"/>
              </a:schemeClr>
            </a:solidFill>
            <a:ln/>
            <a:effectLst/>
            <a:sp3d/>
          </c:spPr>
          <c:val>
            <c:numRef>
              <c:f>Лист1!$B$4:$V$4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13-48A6-97E1-8871E656B61D}"/>
            </c:ext>
          </c:extLst>
        </c:ser>
        <c:ser>
          <c:idx val="3"/>
          <c:order val="3"/>
          <c:spPr>
            <a:solidFill>
              <a:schemeClr val="accent2">
                <a:tint val="56000"/>
              </a:schemeClr>
            </a:solidFill>
            <a:ln/>
            <a:effectLst/>
            <a:sp3d/>
          </c:spPr>
          <c:val>
            <c:numRef>
              <c:f>Лист1!$B$5:$V$5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13-48A6-97E1-8871E656B61D}"/>
            </c:ext>
          </c:extLst>
        </c:ser>
        <c:ser>
          <c:idx val="4"/>
          <c:order val="4"/>
          <c:spPr>
            <a:solidFill>
              <a:schemeClr val="accent2">
                <a:tint val="62000"/>
              </a:schemeClr>
            </a:solidFill>
            <a:ln/>
            <a:effectLst/>
            <a:sp3d/>
          </c:spPr>
          <c:val>
            <c:numRef>
              <c:f>Лист1!$B$6:$V$6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13-48A6-97E1-8871E656B61D}"/>
            </c:ext>
          </c:extLst>
        </c:ser>
        <c:ser>
          <c:idx val="5"/>
          <c:order val="5"/>
          <c:spPr>
            <a:solidFill>
              <a:schemeClr val="accent2">
                <a:tint val="69000"/>
              </a:schemeClr>
            </a:solidFill>
            <a:ln/>
            <a:effectLst/>
            <a:sp3d/>
          </c:spPr>
          <c:val>
            <c:numRef>
              <c:f>Лист1!$B$7:$V$7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13-48A6-97E1-8871E656B61D}"/>
            </c:ext>
          </c:extLst>
        </c:ser>
        <c:ser>
          <c:idx val="6"/>
          <c:order val="6"/>
          <c:spPr>
            <a:solidFill>
              <a:schemeClr val="accent2">
                <a:tint val="75000"/>
              </a:schemeClr>
            </a:solidFill>
            <a:ln/>
            <a:effectLst/>
            <a:sp3d/>
          </c:spPr>
          <c:val>
            <c:numRef>
              <c:f>Лист1!$B$8:$V$8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13-48A6-97E1-8871E656B61D}"/>
            </c:ext>
          </c:extLst>
        </c:ser>
        <c:ser>
          <c:idx val="7"/>
          <c:order val="7"/>
          <c:spPr>
            <a:solidFill>
              <a:schemeClr val="accent2">
                <a:tint val="81000"/>
              </a:schemeClr>
            </a:solidFill>
            <a:ln/>
            <a:effectLst/>
            <a:sp3d/>
          </c:spPr>
          <c:val>
            <c:numRef>
              <c:f>Лист1!$B$9:$V$9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13-48A6-97E1-8871E656B61D}"/>
            </c:ext>
          </c:extLst>
        </c:ser>
        <c:ser>
          <c:idx val="8"/>
          <c:order val="8"/>
          <c:spPr>
            <a:solidFill>
              <a:schemeClr val="accent2">
                <a:tint val="88000"/>
              </a:schemeClr>
            </a:solidFill>
            <a:ln/>
            <a:effectLst/>
            <a:sp3d/>
          </c:spPr>
          <c:val>
            <c:numRef>
              <c:f>Лист1!$B$10:$V$10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13-48A6-97E1-8871E656B61D}"/>
            </c:ext>
          </c:extLst>
        </c:ser>
        <c:ser>
          <c:idx val="9"/>
          <c:order val="9"/>
          <c:spPr>
            <a:solidFill>
              <a:schemeClr val="accent2">
                <a:tint val="94000"/>
              </a:schemeClr>
            </a:solidFill>
            <a:ln/>
            <a:effectLst/>
            <a:sp3d/>
          </c:spPr>
          <c:val>
            <c:numRef>
              <c:f>Лист1!$B$11:$V$11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313-48A6-97E1-8871E656B61D}"/>
            </c:ext>
          </c:extLst>
        </c:ser>
        <c:ser>
          <c:idx val="10"/>
          <c:order val="10"/>
          <c:spPr>
            <a:solidFill>
              <a:schemeClr val="accent2"/>
            </a:solidFill>
            <a:ln/>
            <a:effectLst/>
            <a:sp3d/>
          </c:spPr>
          <c:val>
            <c:numRef>
              <c:f>Лист1!$B$12:$V$12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313-48A6-97E1-8871E656B61D}"/>
            </c:ext>
          </c:extLst>
        </c:ser>
        <c:ser>
          <c:idx val="11"/>
          <c:order val="11"/>
          <c:spPr>
            <a:solidFill>
              <a:schemeClr val="accent2">
                <a:shade val="93000"/>
              </a:schemeClr>
            </a:solidFill>
            <a:ln/>
            <a:effectLst/>
            <a:sp3d/>
          </c:spPr>
          <c:val>
            <c:numRef>
              <c:f>Лист1!$B$13:$V$13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313-48A6-97E1-8871E656B61D}"/>
            </c:ext>
          </c:extLst>
        </c:ser>
        <c:ser>
          <c:idx val="12"/>
          <c:order val="12"/>
          <c:spPr>
            <a:solidFill>
              <a:schemeClr val="accent2">
                <a:shade val="87000"/>
              </a:schemeClr>
            </a:solidFill>
            <a:ln/>
            <a:effectLst/>
            <a:sp3d/>
          </c:spPr>
          <c:val>
            <c:numRef>
              <c:f>Лист1!$B$14:$V$14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313-48A6-97E1-8871E656B61D}"/>
            </c:ext>
          </c:extLst>
        </c:ser>
        <c:ser>
          <c:idx val="13"/>
          <c:order val="13"/>
          <c:spPr>
            <a:solidFill>
              <a:schemeClr val="accent2">
                <a:shade val="80000"/>
              </a:schemeClr>
            </a:solidFill>
            <a:ln/>
            <a:effectLst/>
            <a:sp3d/>
          </c:spPr>
          <c:val>
            <c:numRef>
              <c:f>Лист1!$B$15:$V$15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313-48A6-97E1-8871E656B61D}"/>
            </c:ext>
          </c:extLst>
        </c:ser>
        <c:ser>
          <c:idx val="14"/>
          <c:order val="14"/>
          <c:spPr>
            <a:solidFill>
              <a:schemeClr val="accent2">
                <a:shade val="74000"/>
              </a:schemeClr>
            </a:solidFill>
            <a:ln/>
            <a:effectLst/>
            <a:sp3d/>
          </c:spPr>
          <c:val>
            <c:numRef>
              <c:f>Лист1!$B$16:$V$16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313-48A6-97E1-8871E656B61D}"/>
            </c:ext>
          </c:extLst>
        </c:ser>
        <c:ser>
          <c:idx val="15"/>
          <c:order val="15"/>
          <c:spPr>
            <a:solidFill>
              <a:schemeClr val="accent2">
                <a:shade val="68000"/>
              </a:schemeClr>
            </a:solidFill>
            <a:ln/>
            <a:effectLst/>
            <a:sp3d/>
          </c:spPr>
          <c:val>
            <c:numRef>
              <c:f>Лист1!$B$17:$V$17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313-48A6-97E1-8871E656B61D}"/>
            </c:ext>
          </c:extLst>
        </c:ser>
        <c:ser>
          <c:idx val="16"/>
          <c:order val="16"/>
          <c:spPr>
            <a:solidFill>
              <a:schemeClr val="accent2">
                <a:shade val="61000"/>
              </a:schemeClr>
            </a:solidFill>
            <a:ln/>
            <a:effectLst/>
            <a:sp3d/>
          </c:spPr>
          <c:val>
            <c:numRef>
              <c:f>Лист1!$B$18:$V$18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313-48A6-97E1-8871E656B61D}"/>
            </c:ext>
          </c:extLst>
        </c:ser>
        <c:ser>
          <c:idx val="17"/>
          <c:order val="17"/>
          <c:spPr>
            <a:solidFill>
              <a:schemeClr val="accent2">
                <a:shade val="55000"/>
              </a:schemeClr>
            </a:solidFill>
            <a:ln/>
            <a:effectLst/>
            <a:sp3d/>
          </c:spPr>
          <c:val>
            <c:numRef>
              <c:f>Лист1!$B$19:$V$19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313-48A6-97E1-8871E656B61D}"/>
            </c:ext>
          </c:extLst>
        </c:ser>
        <c:ser>
          <c:idx val="18"/>
          <c:order val="18"/>
          <c:spPr>
            <a:solidFill>
              <a:schemeClr val="accent2">
                <a:shade val="49000"/>
              </a:schemeClr>
            </a:solidFill>
            <a:ln/>
            <a:effectLst/>
            <a:sp3d/>
          </c:spPr>
          <c:val>
            <c:numRef>
              <c:f>Лист1!$B$20:$V$20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313-48A6-97E1-8871E656B61D}"/>
            </c:ext>
          </c:extLst>
        </c:ser>
        <c:ser>
          <c:idx val="19"/>
          <c:order val="19"/>
          <c:spPr>
            <a:solidFill>
              <a:schemeClr val="accent2">
                <a:shade val="42000"/>
              </a:schemeClr>
            </a:solidFill>
            <a:ln/>
            <a:effectLst/>
            <a:sp3d/>
          </c:spPr>
          <c:val>
            <c:numRef>
              <c:f>Лист1!$B$21:$V$21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313-48A6-97E1-8871E656B61D}"/>
            </c:ext>
          </c:extLst>
        </c:ser>
        <c:ser>
          <c:idx val="20"/>
          <c:order val="20"/>
          <c:spPr>
            <a:solidFill>
              <a:schemeClr val="accent2">
                <a:shade val="36000"/>
              </a:schemeClr>
            </a:solidFill>
            <a:ln/>
            <a:effectLst/>
            <a:sp3d/>
          </c:spPr>
          <c:val>
            <c:numRef>
              <c:f>Лист1!$B$22:$V$22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313-48A6-97E1-8871E656B61D}"/>
            </c:ext>
          </c:extLst>
        </c:ser>
        <c:bandFmts>
          <c:bandFmt>
            <c:idx val="0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tint val="56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tint val="69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tint val="81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tint val="94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shade val="93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shade val="8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shade val="68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shade val="5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shade val="42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shade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shade val="42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shade val="42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shade val="4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shade val="42000"/>
                </a:schemeClr>
              </a:solidFill>
              <a:ln/>
              <a:effectLst/>
              <a:sp3d/>
            </c:spPr>
          </c:bandFmt>
        </c:bandFmts>
        <c:axId val="1722434128"/>
        <c:axId val="1721729184"/>
        <c:axId val="1719045264"/>
      </c:surface3DChart>
      <c:catAx>
        <c:axId val="1722434128"/>
        <c:scaling>
          <c:orientation val="minMax"/>
        </c:scaling>
        <c:delete val="1"/>
        <c:axPos val="b"/>
        <c:majorTickMark val="out"/>
        <c:minorTickMark val="none"/>
        <c:tickLblPos val="nextTo"/>
        <c:crossAx val="1721729184"/>
        <c:crosses val="autoZero"/>
        <c:auto val="1"/>
        <c:lblAlgn val="ctr"/>
        <c:lblOffset val="100"/>
        <c:noMultiLvlLbl val="0"/>
      </c:catAx>
      <c:valAx>
        <c:axId val="172172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2434128"/>
        <c:crosses val="autoZero"/>
        <c:crossBetween val="midCat"/>
      </c:valAx>
      <c:serAx>
        <c:axId val="1719045264"/>
        <c:scaling>
          <c:orientation val="minMax"/>
        </c:scaling>
        <c:delete val="1"/>
        <c:axPos val="b"/>
        <c:majorTickMark val="out"/>
        <c:minorTickMark val="none"/>
        <c:tickLblPos val="nextTo"/>
        <c:crossAx val="172172918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gradFill flip="none" rotWithShape="1">
        <a:gsLst>
          <a:gs pos="0">
            <a:schemeClr val="accent1">
              <a:lumMod val="39000"/>
              <a:lumOff val="61000"/>
            </a:schemeClr>
          </a:gs>
          <a:gs pos="46000">
            <a:schemeClr val="accent1">
              <a:lumMod val="95000"/>
              <a:lumOff val="5000"/>
            </a:schemeClr>
          </a:gs>
          <a:gs pos="100000">
            <a:schemeClr val="accent1">
              <a:lumMod val="60000"/>
            </a:schemeClr>
          </a:gs>
        </a:gsLst>
        <a:path path="circle">
          <a:fillToRect l="50000" t="50000" r="50000" b="50000"/>
        </a:path>
        <a:tileRect/>
      </a:gradFill>
      <a:prstDash val="solid"/>
      <a:round/>
    </a:ln>
    <a:effectLst/>
    <a:scene3d>
      <a:camera prst="orthographicFront"/>
      <a:lightRig rig="threePt" dir="t"/>
    </a:scene3d>
    <a:sp3d prstMaterial="powder"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f(x)=x^3-2x-2</a:t>
            </a:r>
          </a:p>
        </c:rich>
      </c:tx>
      <c:layout>
        <c:manualLayout>
          <c:xMode val="edge"/>
          <c:yMode val="edge"/>
          <c:x val="0.38783333333333331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Лист2!$K$7:$K$22</c:f>
              <c:numCache>
                <c:formatCode>General</c:formatCode>
                <c:ptCount val="16"/>
                <c:pt idx="0">
                  <c:v>1.07</c:v>
                </c:pt>
                <c:pt idx="1">
                  <c:v>1.1399999999999999</c:v>
                </c:pt>
                <c:pt idx="2">
                  <c:v>1.21</c:v>
                </c:pt>
                <c:pt idx="3">
                  <c:v>1.28</c:v>
                </c:pt>
                <c:pt idx="4">
                  <c:v>1.35</c:v>
                </c:pt>
                <c:pt idx="5">
                  <c:v>1.42</c:v>
                </c:pt>
                <c:pt idx="6">
                  <c:v>1.49</c:v>
                </c:pt>
                <c:pt idx="7">
                  <c:v>1.56</c:v>
                </c:pt>
                <c:pt idx="8">
                  <c:v>1.63</c:v>
                </c:pt>
                <c:pt idx="9">
                  <c:v>1.7</c:v>
                </c:pt>
                <c:pt idx="10">
                  <c:v>1.77</c:v>
                </c:pt>
                <c:pt idx="11">
                  <c:v>1.84</c:v>
                </c:pt>
                <c:pt idx="12">
                  <c:v>1.91</c:v>
                </c:pt>
                <c:pt idx="13">
                  <c:v>1.98</c:v>
                </c:pt>
                <c:pt idx="14">
                  <c:v>2.0499999999999998</c:v>
                </c:pt>
                <c:pt idx="15">
                  <c:v>2.12</c:v>
                </c:pt>
              </c:numCache>
            </c:numRef>
          </c:xVal>
          <c:yVal>
            <c:numRef>
              <c:f>Лист2!$L$7:$L$22</c:f>
              <c:numCache>
                <c:formatCode>General</c:formatCode>
                <c:ptCount val="16"/>
                <c:pt idx="0">
                  <c:v>-2.9149570000000002</c:v>
                </c:pt>
                <c:pt idx="1">
                  <c:v>-2.7984559999999998</c:v>
                </c:pt>
                <c:pt idx="2">
                  <c:v>-2.6484389999999998</c:v>
                </c:pt>
                <c:pt idx="3">
                  <c:v>-2.4628479999999997</c:v>
                </c:pt>
                <c:pt idx="4">
                  <c:v>-2.2396249999999998</c:v>
                </c:pt>
                <c:pt idx="5">
                  <c:v>-1.976712</c:v>
                </c:pt>
                <c:pt idx="6">
                  <c:v>-1.6720510000000002</c:v>
                </c:pt>
                <c:pt idx="7">
                  <c:v>-1.3235839999999999</c:v>
                </c:pt>
                <c:pt idx="8">
                  <c:v>-0.92925300000000011</c:v>
                </c:pt>
                <c:pt idx="9">
                  <c:v>-0.48700000000000054</c:v>
                </c:pt>
                <c:pt idx="10">
                  <c:v>5.2330000000004873E-3</c:v>
                </c:pt>
                <c:pt idx="11">
                  <c:v>0.54950400000000021</c:v>
                </c:pt>
                <c:pt idx="12">
                  <c:v>1.1478709999999999</c:v>
                </c:pt>
                <c:pt idx="13">
                  <c:v>1.8023919999999993</c:v>
                </c:pt>
                <c:pt idx="14">
                  <c:v>2.5151249999999994</c:v>
                </c:pt>
                <c:pt idx="15">
                  <c:v>3.2881280000000022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20-4264-A086-BC6112FAF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835584"/>
        <c:axId val="2028312512"/>
      </c:scatterChart>
      <c:valAx>
        <c:axId val="1728835584"/>
        <c:scaling>
          <c:orientation val="minMax"/>
          <c:max val="2"/>
          <c:min val="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28312512"/>
        <c:crosses val="autoZero"/>
        <c:crossBetween val="midCat"/>
        <c:majorUnit val="5.000000000000001E-2"/>
      </c:valAx>
      <c:valAx>
        <c:axId val="202831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83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[ПЗ3 (2).xlsm]Лист3!Общая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Успеваемость потока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7C8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A7A7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Лист3!$C$46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5B-4B6C-842E-A96D6F267BFF}"/>
              </c:ext>
            </c:extLst>
          </c:dPt>
          <c:dPt>
            <c:idx val="1"/>
            <c:bubble3D val="0"/>
            <c:spPr>
              <a:solidFill>
                <a:srgbClr val="FFA7A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5B-4B6C-842E-A96D6F267BFF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D5B-4B6C-842E-A96D6F267BFF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D5B-4B6C-842E-A96D6F267B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Лист3!$B$47:$B$51</c:f>
              <c:strCache>
                <c:ptCount val="4"/>
                <c:pt idx="0">
                  <c:v>Двоечники</c:v>
                </c:pt>
                <c:pt idx="1">
                  <c:v>Троечники</c:v>
                </c:pt>
                <c:pt idx="2">
                  <c:v>Хорошисты</c:v>
                </c:pt>
                <c:pt idx="3">
                  <c:v>Отличники</c:v>
                </c:pt>
              </c:strCache>
            </c:strRef>
          </c:cat>
          <c:val>
            <c:numRef>
              <c:f>Лист3!$C$47:$C$51</c:f>
              <c:numCache>
                <c:formatCode>General</c:formatCode>
                <c:ptCount val="4"/>
                <c:pt idx="0">
                  <c:v>6</c:v>
                </c:pt>
                <c:pt idx="1">
                  <c:v>21</c:v>
                </c:pt>
                <c:pt idx="2">
                  <c:v>9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D-400C-9BB4-0B14572C7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[ПЗ3 (2).xlsm]Лист3!42 группа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Успеваемость</a:t>
            </a:r>
            <a:r>
              <a:rPr lang="ru-RU" baseline="0"/>
              <a:t> группы ПМ-42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7C8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A7A7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Лист3!$O$24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B5-4664-B19A-AEABB4002D67}"/>
              </c:ext>
            </c:extLst>
          </c:dPt>
          <c:dPt>
            <c:idx val="1"/>
            <c:bubble3D val="0"/>
            <c:spPr>
              <a:solidFill>
                <a:srgbClr val="FFA7A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B5-4664-B19A-AEABB4002D67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B5-4664-B19A-AEABB4002D67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CB5-4664-B19A-AEABB4002D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Лист3!$N$25:$N$29</c:f>
              <c:strCache>
                <c:ptCount val="4"/>
                <c:pt idx="0">
                  <c:v>Двоечники</c:v>
                </c:pt>
                <c:pt idx="1">
                  <c:v>Троечники</c:v>
                </c:pt>
                <c:pt idx="2">
                  <c:v>Хорошисты</c:v>
                </c:pt>
                <c:pt idx="3">
                  <c:v>Отличники</c:v>
                </c:pt>
              </c:strCache>
            </c:strRef>
          </c:cat>
          <c:val>
            <c:numRef>
              <c:f>Лист3!$O$25:$O$29</c:f>
              <c:numCache>
                <c:formatCode>General</c:formatCode>
                <c:ptCount val="4"/>
                <c:pt idx="0">
                  <c:v>3</c:v>
                </c:pt>
                <c:pt idx="1">
                  <c:v>9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4-439D-9207-25F81303F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[ПЗ3 (2).xlsm]Лист3!41 группа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Успеваемость</a:t>
            </a:r>
            <a:r>
              <a:rPr lang="ru-RU" baseline="0"/>
              <a:t> группы ПМ-41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7C8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A7A7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Лист3!$O$4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10-44C4-93BE-DA24918873E1}"/>
              </c:ext>
            </c:extLst>
          </c:dPt>
          <c:dPt>
            <c:idx val="1"/>
            <c:bubble3D val="0"/>
            <c:spPr>
              <a:solidFill>
                <a:srgbClr val="FFA7A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10-44C4-93BE-DA24918873E1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910-44C4-93BE-DA24918873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Лист3!$N$5:$N$8</c:f>
              <c:strCache>
                <c:ptCount val="3"/>
                <c:pt idx="0">
                  <c:v>Двоечники</c:v>
                </c:pt>
                <c:pt idx="1">
                  <c:v>Троечники</c:v>
                </c:pt>
                <c:pt idx="2">
                  <c:v>Хорошисты</c:v>
                </c:pt>
              </c:strCache>
            </c:strRef>
          </c:cat>
          <c:val>
            <c:numRef>
              <c:f>Лист3!$O$5:$O$8</c:f>
              <c:numCache>
                <c:formatCode>General</c:formatCode>
                <c:ptCount val="3"/>
                <c:pt idx="0">
                  <c:v>3</c:v>
                </c:pt>
                <c:pt idx="1">
                  <c:v>12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64-4F97-80CD-FCE3EB1AE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70985</xdr:colOff>
      <xdr:row>0</xdr:row>
      <xdr:rowOff>54201</xdr:rowOff>
    </xdr:from>
    <xdr:to>
      <xdr:col>33</xdr:col>
      <xdr:colOff>290286</xdr:colOff>
      <xdr:row>25</xdr:row>
      <xdr:rowOff>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114A36B-7CC1-647C-0D6F-1D8A017828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3410</xdr:colOff>
      <xdr:row>22</xdr:row>
      <xdr:rowOff>183100</xdr:rowOff>
    </xdr:from>
    <xdr:to>
      <xdr:col>14</xdr:col>
      <xdr:colOff>607540</xdr:colOff>
      <xdr:row>41</xdr:row>
      <xdr:rowOff>20596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FE33C67-F28B-ABDB-1FC0-8DB5D9077C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207819</xdr:colOff>
      <xdr:row>44</xdr:row>
      <xdr:rowOff>164522</xdr:rowOff>
    </xdr:from>
    <xdr:to>
      <xdr:col>7</xdr:col>
      <xdr:colOff>684067</xdr:colOff>
      <xdr:row>61</xdr:row>
      <xdr:rowOff>129884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11995EA9-5304-3B28-24F5-58BAA1FB5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129082</xdr:colOff>
      <xdr:row>19</xdr:row>
      <xdr:rowOff>118308</xdr:rowOff>
    </xdr:from>
    <xdr:to>
      <xdr:col>19</xdr:col>
      <xdr:colOff>453429</xdr:colOff>
      <xdr:row>36</xdr:row>
      <xdr:rowOff>92703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398F99B-95AD-571A-F960-FD745DA54D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118896</xdr:colOff>
      <xdr:row>0</xdr:row>
      <xdr:rowOff>0</xdr:rowOff>
    </xdr:from>
    <xdr:to>
      <xdr:col>19</xdr:col>
      <xdr:colOff>505064</xdr:colOff>
      <xdr:row>16</xdr:row>
      <xdr:rowOff>88199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9F356F5F-89F5-8AA1-7CF2-B9FE53607D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riLLuxe" refreshedDate="45243.71619097222" createdVersion="8" refreshedVersion="8" minRefreshableVersion="3" recordCount="40" xr:uid="{C56D34E3-84E4-4F28-934D-DA3A1C93791C}">
  <cacheSource type="worksheet">
    <worksheetSource ref="B3:M43" sheet="Лист3"/>
  </cacheSource>
  <cacheFields count="14">
    <cacheField name="ФИО" numFmtId="0">
      <sharedItems count="40">
        <s v="Рогов Корней Германович"/>
        <s v="Кононов Велор Улебович"/>
        <s v="Исаев Степан Аркадьевич"/>
        <s v="Носков Герман Максович"/>
        <s v="Степанов Федор Иванович"/>
        <s v="Герасимов Аверьян Даниилович"/>
        <s v="Гуляев Вячеслав Витальевич"/>
        <s v="Фомичёв Арсений Глебович"/>
        <s v="Суханов Архип Иванович"/>
        <s v="Веселов Мартын Альбертович"/>
        <s v="Носкова Алиса Геннадьевна"/>
        <s v="Логинова Ландыш Тимуровна"/>
        <s v="Агафонова Святослава Парфеньевна"/>
        <s v="Афанасьева Георгина Парфеньевна"/>
        <s v="Михеева Изабелла Альбертовна"/>
        <s v="Попова Крис Германовна"/>
        <s v="Макарова Алика Тимуровна"/>
        <s v="Якушева Властилина Витальевна"/>
        <s v="Уварова Кира Яковлевна"/>
        <s v="Юдина Августина Альвиановна"/>
        <s v="Пестова Артемида Тимуровна"/>
        <s v="Никитина Феодосия Владленовна"/>
        <s v="Антонова Виргиния Валерьяновна"/>
        <s v="Савельева Джема Вадимовна"/>
        <s v="Савельева Юлия Павловна"/>
        <s v="Воробьёва Фелиция Дмитриевна"/>
        <s v="Архипова Николь Степановна"/>
        <s v="Цветкова Янита Пётровна"/>
        <s v="Куликова Лунара Еремеевна"/>
        <s v="Алексеева Властилина Степановна"/>
        <s v="Ильин Витольд Мартынович"/>
        <s v="Уваров Артем Владимирович"/>
        <s v="Максимов Гурий Анатольевич"/>
        <s v="Максимов Соломон Наумович"/>
        <s v="Зуев Терентий Мартынович"/>
        <s v="Потапов Остап Яковлевич"/>
        <s v="Фомичёв Мечислав Александрович"/>
        <s v="Стрелков Матвей Викторович"/>
        <s v="Бобылёв Марк Георгиевич"/>
        <s v="Кабанов Платон Лукьевич"/>
      </sharedItems>
    </cacheField>
    <cacheField name="Группа" numFmtId="0">
      <sharedItems count="2">
        <s v="ПМ-41"/>
        <s v="ПМ-42"/>
      </sharedItems>
    </cacheField>
    <cacheField name="Иностранный язык" numFmtId="0">
      <sharedItems containsSemiMixedTypes="0" containsString="0" containsNumber="1" containsInteger="1" minValue="2" maxValue="5"/>
    </cacheField>
    <cacheField name="Математический анализ" numFmtId="0">
      <sharedItems containsSemiMixedTypes="0" containsString="0" containsNumber="1" containsInteger="1" minValue="2" maxValue="5"/>
    </cacheField>
    <cacheField name="Информатика" numFmtId="0">
      <sharedItems containsSemiMixedTypes="0" containsString="0" containsNumber="1" containsInteger="1" minValue="2" maxValue="5"/>
    </cacheField>
    <cacheField name="Китайский " numFmtId="0">
      <sharedItems containsSemiMixedTypes="0" containsString="0" containsNumber="1" containsInteger="1" minValue="3" maxValue="5"/>
    </cacheField>
    <cacheField name="Философия" numFmtId="0">
      <sharedItems containsSemiMixedTypes="0" containsString="0" containsNumber="1" containsInteger="1" minValue="3" maxValue="5"/>
    </cacheField>
    <cacheField name="Ср. балл" numFmtId="0">
      <sharedItems containsSemiMixedTypes="0" containsString="0" containsNumber="1" minValue="3.4" maxValue="5" count="9">
        <n v="3.6"/>
        <n v="4.8"/>
        <n v="3.8"/>
        <n v="4.4000000000000004"/>
        <n v="4.5999999999999996"/>
        <n v="4"/>
        <n v="4.2"/>
        <n v="5"/>
        <n v="3.4"/>
      </sharedItems>
    </cacheField>
    <cacheField name="Базовая" numFmtId="0">
      <sharedItems containsSemiMixedTypes="0" containsString="0" containsNumber="1" containsInteger="1" minValue="0" maxValue="4330"/>
    </cacheField>
    <cacheField name="Надбавка" numFmtId="0">
      <sharedItems containsSemiMixedTypes="0" containsString="0" containsNumber="1" containsInteger="1" minValue="0" maxValue="1075" count="3">
        <n v="0"/>
        <n v="655"/>
        <n v="1075"/>
      </sharedItems>
    </cacheField>
    <cacheField name="Итог" numFmtId="0">
      <sharedItems containsSemiMixedTypes="0" containsString="0" containsNumber="1" containsInteger="1" minValue="0" maxValue="5405"/>
    </cacheField>
    <cacheField name="Успеваемость" numFmtId="0">
      <sharedItems count="4">
        <s v="Уд."/>
        <s v="Хор."/>
        <s v="Неуд."/>
        <s v="Отл."/>
      </sharedItems>
    </cacheField>
    <cacheField name="Количество" numFmtId="0" formula=" 0" databaseField="0"/>
    <cacheField name="Поле1" numFmtId="0" formula="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riLLuxe" refreshedDate="45243.716191550928" createdVersion="8" refreshedVersion="8" minRefreshableVersion="3" recordCount="20" xr:uid="{EF0B9CA8-6C05-4A83-9D76-49C7B02AE631}">
  <cacheSource type="worksheet">
    <worksheetSource ref="B3:M23" sheet="Лист3"/>
  </cacheSource>
  <cacheFields count="12">
    <cacheField name="ФИО" numFmtId="0">
      <sharedItems count="20">
        <s v="Рогов Корней Германович"/>
        <s v="Кононов Велор Улебович"/>
        <s v="Исаев Степан Аркадьевич"/>
        <s v="Носков Герман Максович"/>
        <s v="Степанов Федор Иванович"/>
        <s v="Герасимов Аверьян Даниилович"/>
        <s v="Гуляев Вячеслав Витальевич"/>
        <s v="Фомичёв Арсений Глебович"/>
        <s v="Суханов Архип Иванович"/>
        <s v="Веселов Мартын Альбертович"/>
        <s v="Носкова Алиса Геннадьевна"/>
        <s v="Логинова Ландыш Тимуровна"/>
        <s v="Агафонова Святослава Парфеньевна"/>
        <s v="Афанасьева Георгина Парфеньевна"/>
        <s v="Михеева Изабелла Альбертовна"/>
        <s v="Попова Крис Германовна"/>
        <s v="Макарова Алика Тимуровна"/>
        <s v="Якушева Властилина Витальевна"/>
        <s v="Уварова Кира Яковлевна"/>
        <s v="Юдина Августина Альвиановна"/>
      </sharedItems>
    </cacheField>
    <cacheField name="Группа" numFmtId="0">
      <sharedItems count="1">
        <s v="ПМ-41"/>
      </sharedItems>
    </cacheField>
    <cacheField name="Иностранный язык" numFmtId="0">
      <sharedItems containsSemiMixedTypes="0" containsString="0" containsNumber="1" containsInteger="1" minValue="2" maxValue="5"/>
    </cacheField>
    <cacheField name="Математический анализ" numFmtId="0">
      <sharedItems containsSemiMixedTypes="0" containsString="0" containsNumber="1" containsInteger="1" minValue="2" maxValue="5"/>
    </cacheField>
    <cacheField name="Информатика" numFmtId="0">
      <sharedItems containsSemiMixedTypes="0" containsString="0" containsNumber="1" containsInteger="1" minValue="2" maxValue="5"/>
    </cacheField>
    <cacheField name="Китайский " numFmtId="0">
      <sharedItems containsSemiMixedTypes="0" containsString="0" containsNumber="1" containsInteger="1" minValue="3" maxValue="5"/>
    </cacheField>
    <cacheField name="Философия" numFmtId="0">
      <sharedItems containsSemiMixedTypes="0" containsString="0" containsNumber="1" containsInteger="1" minValue="4" maxValue="5"/>
    </cacheField>
    <cacheField name="Ср. балл" numFmtId="0">
      <sharedItems containsSemiMixedTypes="0" containsString="0" containsNumber="1" minValue="3.6" maxValue="4.8"/>
    </cacheField>
    <cacheField name="Базовая" numFmtId="0">
      <sharedItems containsSemiMixedTypes="0" containsString="0" containsNumber="1" containsInteger="1" minValue="0" maxValue="4330"/>
    </cacheField>
    <cacheField name="Надбавка" numFmtId="0">
      <sharedItems containsSemiMixedTypes="0" containsString="0" containsNumber="1" containsInteger="1" minValue="0" maxValue="655"/>
    </cacheField>
    <cacheField name="Итог" numFmtId="0">
      <sharedItems containsSemiMixedTypes="0" containsString="0" containsNumber="1" containsInteger="1" minValue="0" maxValue="4985"/>
    </cacheField>
    <cacheField name="Успеваемость" numFmtId="0">
      <sharedItems count="3">
        <s v="Уд."/>
        <s v="Хор."/>
        <s v="Неуд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n v="3"/>
    <n v="3"/>
    <n v="3"/>
    <n v="4"/>
    <n v="5"/>
    <x v="0"/>
    <n v="0"/>
    <x v="0"/>
    <n v="0"/>
    <x v="0"/>
  </r>
  <r>
    <x v="1"/>
    <x v="0"/>
    <n v="5"/>
    <n v="5"/>
    <n v="5"/>
    <n v="4"/>
    <n v="5"/>
    <x v="1"/>
    <n v="4330"/>
    <x v="1"/>
    <n v="4985"/>
    <x v="1"/>
  </r>
  <r>
    <x v="2"/>
    <x v="0"/>
    <n v="5"/>
    <n v="5"/>
    <n v="5"/>
    <n v="4"/>
    <n v="5"/>
    <x v="1"/>
    <n v="4330"/>
    <x v="1"/>
    <n v="4985"/>
    <x v="1"/>
  </r>
  <r>
    <x v="3"/>
    <x v="0"/>
    <n v="3"/>
    <n v="3"/>
    <n v="3"/>
    <n v="5"/>
    <n v="5"/>
    <x v="2"/>
    <n v="0"/>
    <x v="0"/>
    <n v="0"/>
    <x v="0"/>
  </r>
  <r>
    <x v="4"/>
    <x v="0"/>
    <n v="5"/>
    <n v="5"/>
    <n v="3"/>
    <n v="4"/>
    <n v="5"/>
    <x v="3"/>
    <n v="0"/>
    <x v="0"/>
    <n v="0"/>
    <x v="0"/>
  </r>
  <r>
    <x v="5"/>
    <x v="0"/>
    <n v="5"/>
    <n v="5"/>
    <n v="4"/>
    <n v="4"/>
    <n v="5"/>
    <x v="4"/>
    <n v="4330"/>
    <x v="1"/>
    <n v="4985"/>
    <x v="1"/>
  </r>
  <r>
    <x v="6"/>
    <x v="0"/>
    <n v="5"/>
    <n v="3"/>
    <n v="3"/>
    <n v="4"/>
    <n v="5"/>
    <x v="5"/>
    <n v="0"/>
    <x v="0"/>
    <n v="0"/>
    <x v="0"/>
  </r>
  <r>
    <x v="7"/>
    <x v="0"/>
    <n v="5"/>
    <n v="5"/>
    <n v="3"/>
    <n v="5"/>
    <n v="5"/>
    <x v="4"/>
    <n v="0"/>
    <x v="0"/>
    <n v="0"/>
    <x v="0"/>
  </r>
  <r>
    <x v="8"/>
    <x v="0"/>
    <n v="3"/>
    <n v="5"/>
    <n v="3"/>
    <n v="3"/>
    <n v="4"/>
    <x v="0"/>
    <n v="0"/>
    <x v="0"/>
    <n v="0"/>
    <x v="0"/>
  </r>
  <r>
    <x v="9"/>
    <x v="0"/>
    <n v="5"/>
    <n v="4"/>
    <n v="4"/>
    <n v="5"/>
    <n v="5"/>
    <x v="4"/>
    <n v="4330"/>
    <x v="1"/>
    <n v="4985"/>
    <x v="1"/>
  </r>
  <r>
    <x v="10"/>
    <x v="0"/>
    <n v="5"/>
    <n v="3"/>
    <n v="2"/>
    <n v="5"/>
    <n v="5"/>
    <x v="5"/>
    <n v="0"/>
    <x v="0"/>
    <n v="0"/>
    <x v="2"/>
  </r>
  <r>
    <x v="11"/>
    <x v="0"/>
    <n v="5"/>
    <n v="2"/>
    <n v="3"/>
    <n v="5"/>
    <n v="5"/>
    <x v="5"/>
    <n v="0"/>
    <x v="0"/>
    <n v="0"/>
    <x v="2"/>
  </r>
  <r>
    <x v="12"/>
    <x v="0"/>
    <n v="3"/>
    <n v="3"/>
    <n v="4"/>
    <n v="4"/>
    <n v="4"/>
    <x v="0"/>
    <n v="0"/>
    <x v="0"/>
    <n v="0"/>
    <x v="0"/>
  </r>
  <r>
    <x v="13"/>
    <x v="0"/>
    <n v="3"/>
    <n v="4"/>
    <n v="5"/>
    <n v="3"/>
    <n v="5"/>
    <x v="5"/>
    <n v="0"/>
    <x v="0"/>
    <n v="0"/>
    <x v="0"/>
  </r>
  <r>
    <x v="14"/>
    <x v="0"/>
    <n v="3"/>
    <n v="3"/>
    <n v="3"/>
    <n v="4"/>
    <n v="5"/>
    <x v="0"/>
    <n v="0"/>
    <x v="0"/>
    <n v="0"/>
    <x v="0"/>
  </r>
  <r>
    <x v="15"/>
    <x v="0"/>
    <n v="5"/>
    <n v="5"/>
    <n v="5"/>
    <n v="3"/>
    <n v="5"/>
    <x v="4"/>
    <n v="0"/>
    <x v="0"/>
    <n v="0"/>
    <x v="0"/>
  </r>
  <r>
    <x v="16"/>
    <x v="0"/>
    <n v="3"/>
    <n v="4"/>
    <n v="3"/>
    <n v="4"/>
    <n v="5"/>
    <x v="2"/>
    <n v="0"/>
    <x v="0"/>
    <n v="0"/>
    <x v="0"/>
  </r>
  <r>
    <x v="17"/>
    <x v="0"/>
    <n v="4"/>
    <n v="5"/>
    <n v="4"/>
    <n v="5"/>
    <n v="5"/>
    <x v="4"/>
    <n v="4330"/>
    <x v="1"/>
    <n v="4985"/>
    <x v="1"/>
  </r>
  <r>
    <x v="18"/>
    <x v="0"/>
    <n v="5"/>
    <n v="4"/>
    <n v="3"/>
    <n v="4"/>
    <n v="5"/>
    <x v="6"/>
    <n v="0"/>
    <x v="0"/>
    <n v="0"/>
    <x v="0"/>
  </r>
  <r>
    <x v="19"/>
    <x v="0"/>
    <n v="2"/>
    <n v="3"/>
    <n v="5"/>
    <n v="5"/>
    <n v="5"/>
    <x v="5"/>
    <n v="0"/>
    <x v="0"/>
    <n v="0"/>
    <x v="2"/>
  </r>
  <r>
    <x v="20"/>
    <x v="1"/>
    <n v="5"/>
    <n v="5"/>
    <n v="5"/>
    <n v="5"/>
    <n v="5"/>
    <x v="7"/>
    <n v="4330"/>
    <x v="2"/>
    <n v="5405"/>
    <x v="3"/>
  </r>
  <r>
    <x v="21"/>
    <x v="1"/>
    <n v="4"/>
    <n v="3"/>
    <n v="5"/>
    <n v="5"/>
    <n v="3"/>
    <x v="5"/>
    <n v="0"/>
    <x v="0"/>
    <n v="0"/>
    <x v="0"/>
  </r>
  <r>
    <x v="22"/>
    <x v="1"/>
    <n v="3"/>
    <n v="5"/>
    <n v="5"/>
    <n v="5"/>
    <n v="5"/>
    <x v="4"/>
    <n v="0"/>
    <x v="0"/>
    <n v="0"/>
    <x v="0"/>
  </r>
  <r>
    <x v="23"/>
    <x v="1"/>
    <n v="5"/>
    <n v="5"/>
    <n v="5"/>
    <n v="5"/>
    <n v="5"/>
    <x v="7"/>
    <n v="4330"/>
    <x v="2"/>
    <n v="5405"/>
    <x v="3"/>
  </r>
  <r>
    <x v="24"/>
    <x v="1"/>
    <n v="3"/>
    <n v="3"/>
    <n v="4"/>
    <n v="5"/>
    <n v="3"/>
    <x v="0"/>
    <n v="0"/>
    <x v="0"/>
    <n v="0"/>
    <x v="0"/>
  </r>
  <r>
    <x v="25"/>
    <x v="1"/>
    <n v="4"/>
    <n v="5"/>
    <n v="5"/>
    <n v="5"/>
    <n v="5"/>
    <x v="1"/>
    <n v="4330"/>
    <x v="1"/>
    <n v="4985"/>
    <x v="1"/>
  </r>
  <r>
    <x v="26"/>
    <x v="1"/>
    <n v="2"/>
    <n v="4"/>
    <n v="3"/>
    <n v="5"/>
    <n v="4"/>
    <x v="0"/>
    <n v="0"/>
    <x v="0"/>
    <n v="0"/>
    <x v="2"/>
  </r>
  <r>
    <x v="27"/>
    <x v="1"/>
    <n v="4"/>
    <n v="4"/>
    <n v="4"/>
    <n v="5"/>
    <n v="4"/>
    <x v="6"/>
    <n v="4330"/>
    <x v="1"/>
    <n v="4985"/>
    <x v="1"/>
  </r>
  <r>
    <x v="28"/>
    <x v="1"/>
    <n v="5"/>
    <n v="5"/>
    <n v="5"/>
    <n v="5"/>
    <n v="5"/>
    <x v="7"/>
    <n v="4330"/>
    <x v="2"/>
    <n v="5405"/>
    <x v="3"/>
  </r>
  <r>
    <x v="29"/>
    <x v="1"/>
    <n v="4"/>
    <n v="5"/>
    <n v="5"/>
    <n v="5"/>
    <n v="5"/>
    <x v="1"/>
    <n v="4330"/>
    <x v="1"/>
    <n v="4985"/>
    <x v="1"/>
  </r>
  <r>
    <x v="30"/>
    <x v="1"/>
    <n v="5"/>
    <n v="4"/>
    <n v="5"/>
    <n v="5"/>
    <n v="3"/>
    <x v="3"/>
    <n v="0"/>
    <x v="0"/>
    <n v="0"/>
    <x v="0"/>
  </r>
  <r>
    <x v="31"/>
    <x v="1"/>
    <n v="5"/>
    <n v="5"/>
    <n v="5"/>
    <n v="5"/>
    <n v="3"/>
    <x v="4"/>
    <n v="0"/>
    <x v="0"/>
    <n v="0"/>
    <x v="0"/>
  </r>
  <r>
    <x v="32"/>
    <x v="1"/>
    <n v="3"/>
    <n v="5"/>
    <n v="4"/>
    <n v="5"/>
    <n v="5"/>
    <x v="3"/>
    <n v="0"/>
    <x v="0"/>
    <n v="0"/>
    <x v="0"/>
  </r>
  <r>
    <x v="33"/>
    <x v="1"/>
    <n v="3"/>
    <n v="3"/>
    <n v="3"/>
    <n v="5"/>
    <n v="3"/>
    <x v="8"/>
    <n v="0"/>
    <x v="0"/>
    <n v="0"/>
    <x v="0"/>
  </r>
  <r>
    <x v="34"/>
    <x v="1"/>
    <n v="3"/>
    <n v="3"/>
    <n v="4"/>
    <n v="5"/>
    <n v="3"/>
    <x v="0"/>
    <n v="0"/>
    <x v="0"/>
    <n v="0"/>
    <x v="0"/>
  </r>
  <r>
    <x v="35"/>
    <x v="1"/>
    <n v="5"/>
    <n v="3"/>
    <n v="2"/>
    <n v="5"/>
    <n v="3"/>
    <x v="0"/>
    <n v="0"/>
    <x v="0"/>
    <n v="0"/>
    <x v="2"/>
  </r>
  <r>
    <x v="36"/>
    <x v="1"/>
    <n v="3"/>
    <n v="5"/>
    <n v="5"/>
    <n v="5"/>
    <n v="3"/>
    <x v="6"/>
    <n v="0"/>
    <x v="0"/>
    <n v="0"/>
    <x v="0"/>
  </r>
  <r>
    <x v="37"/>
    <x v="1"/>
    <n v="4"/>
    <n v="5"/>
    <n v="5"/>
    <n v="5"/>
    <n v="5"/>
    <x v="1"/>
    <n v="4330"/>
    <x v="1"/>
    <n v="4985"/>
    <x v="1"/>
  </r>
  <r>
    <x v="38"/>
    <x v="1"/>
    <n v="2"/>
    <n v="5"/>
    <n v="2"/>
    <n v="5"/>
    <n v="5"/>
    <x v="2"/>
    <n v="0"/>
    <x v="0"/>
    <n v="0"/>
    <x v="2"/>
  </r>
  <r>
    <x v="39"/>
    <x v="1"/>
    <n v="5"/>
    <n v="5"/>
    <n v="5"/>
    <n v="5"/>
    <n v="5"/>
    <x v="7"/>
    <n v="4330"/>
    <x v="2"/>
    <n v="5405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n v="3"/>
    <n v="3"/>
    <n v="3"/>
    <n v="4"/>
    <n v="5"/>
    <n v="3.6"/>
    <n v="0"/>
    <n v="0"/>
    <n v="0"/>
    <x v="0"/>
  </r>
  <r>
    <x v="1"/>
    <x v="0"/>
    <n v="5"/>
    <n v="5"/>
    <n v="5"/>
    <n v="4"/>
    <n v="5"/>
    <n v="4.8"/>
    <n v="4330"/>
    <n v="655"/>
    <n v="4985"/>
    <x v="1"/>
  </r>
  <r>
    <x v="2"/>
    <x v="0"/>
    <n v="5"/>
    <n v="5"/>
    <n v="5"/>
    <n v="4"/>
    <n v="5"/>
    <n v="4.8"/>
    <n v="4330"/>
    <n v="655"/>
    <n v="4985"/>
    <x v="1"/>
  </r>
  <r>
    <x v="3"/>
    <x v="0"/>
    <n v="3"/>
    <n v="3"/>
    <n v="3"/>
    <n v="5"/>
    <n v="5"/>
    <n v="3.8"/>
    <n v="0"/>
    <n v="0"/>
    <n v="0"/>
    <x v="0"/>
  </r>
  <r>
    <x v="4"/>
    <x v="0"/>
    <n v="5"/>
    <n v="5"/>
    <n v="3"/>
    <n v="4"/>
    <n v="5"/>
    <n v="4.4000000000000004"/>
    <n v="0"/>
    <n v="0"/>
    <n v="0"/>
    <x v="0"/>
  </r>
  <r>
    <x v="5"/>
    <x v="0"/>
    <n v="5"/>
    <n v="5"/>
    <n v="4"/>
    <n v="4"/>
    <n v="5"/>
    <n v="4.5999999999999996"/>
    <n v="4330"/>
    <n v="655"/>
    <n v="4985"/>
    <x v="1"/>
  </r>
  <r>
    <x v="6"/>
    <x v="0"/>
    <n v="5"/>
    <n v="3"/>
    <n v="3"/>
    <n v="4"/>
    <n v="5"/>
    <n v="4"/>
    <n v="0"/>
    <n v="0"/>
    <n v="0"/>
    <x v="0"/>
  </r>
  <r>
    <x v="7"/>
    <x v="0"/>
    <n v="5"/>
    <n v="5"/>
    <n v="3"/>
    <n v="5"/>
    <n v="5"/>
    <n v="4.5999999999999996"/>
    <n v="0"/>
    <n v="0"/>
    <n v="0"/>
    <x v="0"/>
  </r>
  <r>
    <x v="8"/>
    <x v="0"/>
    <n v="3"/>
    <n v="5"/>
    <n v="3"/>
    <n v="3"/>
    <n v="4"/>
    <n v="3.6"/>
    <n v="0"/>
    <n v="0"/>
    <n v="0"/>
    <x v="0"/>
  </r>
  <r>
    <x v="9"/>
    <x v="0"/>
    <n v="5"/>
    <n v="4"/>
    <n v="4"/>
    <n v="5"/>
    <n v="5"/>
    <n v="4.5999999999999996"/>
    <n v="4330"/>
    <n v="655"/>
    <n v="4985"/>
    <x v="1"/>
  </r>
  <r>
    <x v="10"/>
    <x v="0"/>
    <n v="5"/>
    <n v="3"/>
    <n v="2"/>
    <n v="5"/>
    <n v="5"/>
    <n v="4"/>
    <n v="0"/>
    <n v="0"/>
    <n v="0"/>
    <x v="2"/>
  </r>
  <r>
    <x v="11"/>
    <x v="0"/>
    <n v="5"/>
    <n v="2"/>
    <n v="3"/>
    <n v="5"/>
    <n v="5"/>
    <n v="4"/>
    <n v="0"/>
    <n v="0"/>
    <n v="0"/>
    <x v="2"/>
  </r>
  <r>
    <x v="12"/>
    <x v="0"/>
    <n v="3"/>
    <n v="3"/>
    <n v="4"/>
    <n v="4"/>
    <n v="4"/>
    <n v="3.6"/>
    <n v="0"/>
    <n v="0"/>
    <n v="0"/>
    <x v="0"/>
  </r>
  <r>
    <x v="13"/>
    <x v="0"/>
    <n v="3"/>
    <n v="4"/>
    <n v="5"/>
    <n v="3"/>
    <n v="5"/>
    <n v="4"/>
    <n v="0"/>
    <n v="0"/>
    <n v="0"/>
    <x v="0"/>
  </r>
  <r>
    <x v="14"/>
    <x v="0"/>
    <n v="3"/>
    <n v="3"/>
    <n v="3"/>
    <n v="4"/>
    <n v="5"/>
    <n v="3.6"/>
    <n v="0"/>
    <n v="0"/>
    <n v="0"/>
    <x v="0"/>
  </r>
  <r>
    <x v="15"/>
    <x v="0"/>
    <n v="5"/>
    <n v="5"/>
    <n v="5"/>
    <n v="3"/>
    <n v="5"/>
    <n v="4.5999999999999996"/>
    <n v="0"/>
    <n v="0"/>
    <n v="0"/>
    <x v="0"/>
  </r>
  <r>
    <x v="16"/>
    <x v="0"/>
    <n v="3"/>
    <n v="4"/>
    <n v="3"/>
    <n v="4"/>
    <n v="5"/>
    <n v="3.8"/>
    <n v="0"/>
    <n v="0"/>
    <n v="0"/>
    <x v="0"/>
  </r>
  <r>
    <x v="17"/>
    <x v="0"/>
    <n v="4"/>
    <n v="5"/>
    <n v="4"/>
    <n v="5"/>
    <n v="5"/>
    <n v="4.5999999999999996"/>
    <n v="4330"/>
    <n v="655"/>
    <n v="4985"/>
    <x v="1"/>
  </r>
  <r>
    <x v="18"/>
    <x v="0"/>
    <n v="5"/>
    <n v="4"/>
    <n v="3"/>
    <n v="4"/>
    <n v="5"/>
    <n v="4.2"/>
    <n v="0"/>
    <n v="0"/>
    <n v="0"/>
    <x v="0"/>
  </r>
  <r>
    <x v="19"/>
    <x v="0"/>
    <n v="2"/>
    <n v="3"/>
    <n v="5"/>
    <n v="5"/>
    <n v="5"/>
    <n v="4"/>
    <n v="0"/>
    <n v="0"/>
    <n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FED981-4006-4107-9D4A-B40ABA2E2E41}" name="Общая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2" rowHeaderCaption="Успеваемость">
  <location ref="B46:C51" firstHeaderRow="1" firstDataRow="1" firstDataCol="1"/>
  <pivotFields count="14">
    <pivotField axis="axisRow" showAll="0">
      <items count="41"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3">
        <item sd="0" x="0"/>
        <item sd="0" x="1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n="Двоечники" sd="0" x="2"/>
        <item n="Троечники" sd="0" x="0"/>
        <item n="Хорошисты" sd="0" x="1"/>
        <item n="Отличники" sd="0" x="3"/>
        <item t="default" sd="0"/>
      </items>
    </pivotField>
    <pivotField dragToRow="0" dragToCol="0" dragToPage="0" showAll="0" defaultSubtotal="0"/>
    <pivotField dragToRow="0" dragToCol="0" dragToPage="0" showAll="0" defaultSubtotal="0"/>
  </pivotFields>
  <rowFields count="3">
    <field x="11"/>
    <field x="1"/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Количество " fld="11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BD74CF-9FE2-4896-87B0-22A8096606A6}" name="42 группа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1">
  <location ref="N24:O29" firstHeaderRow="1" firstDataRow="1" firstDataCol="1"/>
  <pivotFields count="14">
    <pivotField axis="axisRow" showAll="0">
      <items count="41"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3">
        <item h="1" x="0"/>
        <item sd="0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n="Двоечники" sd="0" x="2"/>
        <item n="Троечники" sd="0" x="0"/>
        <item n="Хорошисты" sd="0" x="1"/>
        <item n="Отличники" sd="0" x="3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3">
    <field x="11"/>
    <field x="1"/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Количество " fld="11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161B78-56D1-4119-9E52-199FE1BBCB88}" name="41 группа" cacheId="1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1">
  <location ref="N4:O8" firstHeaderRow="1" firstDataRow="1" firstDataCol="1"/>
  <pivotFields count="12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2"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n="Двоечники" sd="0" x="2"/>
        <item n="Троечники" sd="0" x="0"/>
        <item n="Хорошисты" sd="0" x="1"/>
        <item t="default"/>
      </items>
    </pivotField>
  </pivotFields>
  <rowFields count="3">
    <field x="11"/>
    <field x="1"/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Количество " fld="11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V22"/>
  <sheetViews>
    <sheetView topLeftCell="N1" zoomScale="86" zoomScaleNormal="115" workbookViewId="0">
      <selection activeCell="Z29" sqref="Z29"/>
    </sheetView>
  </sheetViews>
  <sheetFormatPr defaultRowHeight="14.4" x14ac:dyDescent="0.3"/>
  <sheetData>
    <row r="1" spans="1:22" x14ac:dyDescent="0.3">
      <c r="A1" s="7" t="s">
        <v>0</v>
      </c>
      <c r="B1" s="8">
        <v>-5</v>
      </c>
      <c r="C1" s="9">
        <v>-4.5</v>
      </c>
      <c r="D1" s="9">
        <v>-4</v>
      </c>
      <c r="E1" s="9">
        <v>-3.5</v>
      </c>
      <c r="F1" s="9">
        <v>-3</v>
      </c>
      <c r="G1" s="9">
        <v>-2.5</v>
      </c>
      <c r="H1" s="9">
        <v>-2</v>
      </c>
      <c r="I1" s="9">
        <v>-1.5</v>
      </c>
      <c r="J1" s="9">
        <v>-1</v>
      </c>
      <c r="K1" s="9">
        <v>-0.5</v>
      </c>
      <c r="L1" s="9">
        <v>0</v>
      </c>
      <c r="M1" s="9">
        <v>0.5</v>
      </c>
      <c r="N1" s="9">
        <v>1</v>
      </c>
      <c r="O1" s="9">
        <v>1.5</v>
      </c>
      <c r="P1" s="9">
        <v>2</v>
      </c>
      <c r="Q1" s="9">
        <v>2.5</v>
      </c>
      <c r="R1" s="9">
        <v>3</v>
      </c>
      <c r="S1" s="9">
        <v>3.5</v>
      </c>
      <c r="T1" s="9">
        <v>4</v>
      </c>
      <c r="U1" s="9">
        <v>4.5</v>
      </c>
      <c r="V1" s="10">
        <v>5</v>
      </c>
    </row>
    <row r="2" spans="1:22" x14ac:dyDescent="0.3">
      <c r="A2" s="17">
        <v>-5</v>
      </c>
      <c r="B2" s="11" t="e">
        <f ca="1">func($A2,B$1)</f>
        <v>#NAME?</v>
      </c>
      <c r="C2" s="11" t="e">
        <f t="shared" ref="C2:V2" ca="1" si="0">func($A2,C$1)</f>
        <v>#NAME?</v>
      </c>
      <c r="D2" s="11" t="e">
        <f t="shared" ca="1" si="0"/>
        <v>#NAME?</v>
      </c>
      <c r="E2" s="11" t="e">
        <f t="shared" ca="1" si="0"/>
        <v>#NAME?</v>
      </c>
      <c r="F2" s="11" t="e">
        <f t="shared" ca="1" si="0"/>
        <v>#NAME?</v>
      </c>
      <c r="G2" s="11" t="e">
        <f t="shared" ca="1" si="0"/>
        <v>#NAME?</v>
      </c>
      <c r="H2" s="11" t="e">
        <f t="shared" ca="1" si="0"/>
        <v>#NAME?</v>
      </c>
      <c r="I2" s="11" t="e">
        <f t="shared" ca="1" si="0"/>
        <v>#NAME?</v>
      </c>
      <c r="J2" s="11" t="e">
        <f t="shared" ca="1" si="0"/>
        <v>#NAME?</v>
      </c>
      <c r="K2" s="11" t="e">
        <f t="shared" ca="1" si="0"/>
        <v>#NAME?</v>
      </c>
      <c r="L2" s="11" t="e">
        <f t="shared" ca="1" si="0"/>
        <v>#NAME?</v>
      </c>
      <c r="M2" s="11" t="e">
        <f t="shared" ca="1" si="0"/>
        <v>#NAME?</v>
      </c>
      <c r="N2" s="11" t="e">
        <f t="shared" ca="1" si="0"/>
        <v>#NAME?</v>
      </c>
      <c r="O2" s="11" t="e">
        <f t="shared" ca="1" si="0"/>
        <v>#NAME?</v>
      </c>
      <c r="P2" s="11" t="e">
        <f t="shared" ca="1" si="0"/>
        <v>#NAME?</v>
      </c>
      <c r="Q2" s="11" t="e">
        <f t="shared" ca="1" si="0"/>
        <v>#NAME?</v>
      </c>
      <c r="R2" s="11" t="e">
        <f t="shared" ca="1" si="0"/>
        <v>#NAME?</v>
      </c>
      <c r="S2" s="11" t="e">
        <f t="shared" ca="1" si="0"/>
        <v>#NAME?</v>
      </c>
      <c r="T2" s="11" t="e">
        <f t="shared" ca="1" si="0"/>
        <v>#NAME?</v>
      </c>
      <c r="U2" s="11" t="e">
        <f t="shared" ca="1" si="0"/>
        <v>#NAME?</v>
      </c>
      <c r="V2" s="12" t="e">
        <f t="shared" ca="1" si="0"/>
        <v>#NAME?</v>
      </c>
    </row>
    <row r="3" spans="1:22" x14ac:dyDescent="0.3">
      <c r="A3" s="18">
        <v>-4.5</v>
      </c>
      <c r="B3" s="13" t="e">
        <f t="shared" ref="B3:Q18" ca="1" si="1">func($A3,B$1)</f>
        <v>#NAME?</v>
      </c>
      <c r="C3" s="13" t="e">
        <f t="shared" ca="1" si="1"/>
        <v>#NAME?</v>
      </c>
      <c r="D3" s="13" t="e">
        <f t="shared" ca="1" si="1"/>
        <v>#NAME?</v>
      </c>
      <c r="E3" s="13" t="e">
        <f t="shared" ca="1" si="1"/>
        <v>#NAME?</v>
      </c>
      <c r="F3" s="13" t="e">
        <f t="shared" ca="1" si="1"/>
        <v>#NAME?</v>
      </c>
      <c r="G3" s="13" t="e">
        <f t="shared" ca="1" si="1"/>
        <v>#NAME?</v>
      </c>
      <c r="H3" s="13" t="e">
        <f t="shared" ca="1" si="1"/>
        <v>#NAME?</v>
      </c>
      <c r="I3" s="13" t="e">
        <f t="shared" ca="1" si="1"/>
        <v>#NAME?</v>
      </c>
      <c r="J3" s="13" t="e">
        <f t="shared" ca="1" si="1"/>
        <v>#NAME?</v>
      </c>
      <c r="K3" s="13" t="e">
        <f t="shared" ca="1" si="1"/>
        <v>#NAME?</v>
      </c>
      <c r="L3" s="13" t="e">
        <f t="shared" ca="1" si="1"/>
        <v>#NAME?</v>
      </c>
      <c r="M3" s="13" t="e">
        <f t="shared" ca="1" si="1"/>
        <v>#NAME?</v>
      </c>
      <c r="N3" s="13" t="e">
        <f t="shared" ca="1" si="1"/>
        <v>#NAME?</v>
      </c>
      <c r="O3" s="13" t="e">
        <f t="shared" ca="1" si="1"/>
        <v>#NAME?</v>
      </c>
      <c r="P3" s="13" t="e">
        <f t="shared" ca="1" si="1"/>
        <v>#NAME?</v>
      </c>
      <c r="Q3" s="13" t="e">
        <f t="shared" ca="1" si="1"/>
        <v>#NAME?</v>
      </c>
      <c r="R3" s="13" t="e">
        <f t="shared" ref="R3:V17" ca="1" si="2">func($A3,R$1)</f>
        <v>#NAME?</v>
      </c>
      <c r="S3" s="13" t="e">
        <f t="shared" ca="1" si="2"/>
        <v>#NAME?</v>
      </c>
      <c r="T3" s="13" t="e">
        <f t="shared" ca="1" si="2"/>
        <v>#NAME?</v>
      </c>
      <c r="U3" s="13" t="e">
        <f t="shared" ca="1" si="2"/>
        <v>#NAME?</v>
      </c>
      <c r="V3" s="14" t="e">
        <f t="shared" ca="1" si="2"/>
        <v>#NAME?</v>
      </c>
    </row>
    <row r="4" spans="1:22" x14ac:dyDescent="0.3">
      <c r="A4" s="18">
        <v>-4</v>
      </c>
      <c r="B4" s="13" t="e">
        <f t="shared" ca="1" si="1"/>
        <v>#NAME?</v>
      </c>
      <c r="C4" s="13" t="e">
        <f t="shared" ca="1" si="1"/>
        <v>#NAME?</v>
      </c>
      <c r="D4" s="13" t="e">
        <f t="shared" ca="1" si="1"/>
        <v>#NAME?</v>
      </c>
      <c r="E4" s="13" t="e">
        <f t="shared" ca="1" si="1"/>
        <v>#NAME?</v>
      </c>
      <c r="F4" s="13" t="e">
        <f t="shared" ca="1" si="1"/>
        <v>#NAME?</v>
      </c>
      <c r="G4" s="13" t="e">
        <f t="shared" ca="1" si="1"/>
        <v>#NAME?</v>
      </c>
      <c r="H4" s="13" t="e">
        <f t="shared" ca="1" si="1"/>
        <v>#NAME?</v>
      </c>
      <c r="I4" s="13" t="e">
        <f t="shared" ca="1" si="1"/>
        <v>#NAME?</v>
      </c>
      <c r="J4" s="13" t="e">
        <f t="shared" ca="1" si="1"/>
        <v>#NAME?</v>
      </c>
      <c r="K4" s="13" t="e">
        <f t="shared" ca="1" si="1"/>
        <v>#NAME?</v>
      </c>
      <c r="L4" s="13" t="e">
        <f t="shared" ca="1" si="1"/>
        <v>#NAME?</v>
      </c>
      <c r="M4" s="13" t="e">
        <f t="shared" ca="1" si="1"/>
        <v>#NAME?</v>
      </c>
      <c r="N4" s="13" t="e">
        <f t="shared" ca="1" si="1"/>
        <v>#NAME?</v>
      </c>
      <c r="O4" s="13" t="e">
        <f t="shared" ca="1" si="1"/>
        <v>#NAME?</v>
      </c>
      <c r="P4" s="13" t="e">
        <f t="shared" ca="1" si="1"/>
        <v>#NAME?</v>
      </c>
      <c r="Q4" s="13" t="e">
        <f t="shared" ca="1" si="1"/>
        <v>#NAME?</v>
      </c>
      <c r="R4" s="13" t="e">
        <f t="shared" ca="1" si="2"/>
        <v>#NAME?</v>
      </c>
      <c r="S4" s="13" t="e">
        <f t="shared" ca="1" si="2"/>
        <v>#NAME?</v>
      </c>
      <c r="T4" s="13" t="e">
        <f t="shared" ca="1" si="2"/>
        <v>#NAME?</v>
      </c>
      <c r="U4" s="13" t="e">
        <f t="shared" ca="1" si="2"/>
        <v>#NAME?</v>
      </c>
      <c r="V4" s="14" t="e">
        <f t="shared" ca="1" si="2"/>
        <v>#NAME?</v>
      </c>
    </row>
    <row r="5" spans="1:22" x14ac:dyDescent="0.3">
      <c r="A5" s="18">
        <v>-3.5</v>
      </c>
      <c r="B5" s="13" t="e">
        <f t="shared" ca="1" si="1"/>
        <v>#NAME?</v>
      </c>
      <c r="C5" s="13" t="e">
        <f t="shared" ca="1" si="1"/>
        <v>#NAME?</v>
      </c>
      <c r="D5" s="13" t="e">
        <f t="shared" ca="1" si="1"/>
        <v>#NAME?</v>
      </c>
      <c r="E5" s="13" t="e">
        <f t="shared" ca="1" si="1"/>
        <v>#NAME?</v>
      </c>
      <c r="F5" s="13" t="e">
        <f t="shared" ca="1" si="1"/>
        <v>#NAME?</v>
      </c>
      <c r="G5" s="13" t="e">
        <f t="shared" ca="1" si="1"/>
        <v>#NAME?</v>
      </c>
      <c r="H5" s="13" t="e">
        <f t="shared" ca="1" si="1"/>
        <v>#NAME?</v>
      </c>
      <c r="I5" s="13" t="e">
        <f t="shared" ca="1" si="1"/>
        <v>#NAME?</v>
      </c>
      <c r="J5" s="13" t="e">
        <f t="shared" ca="1" si="1"/>
        <v>#NAME?</v>
      </c>
      <c r="K5" s="13" t="e">
        <f t="shared" ca="1" si="1"/>
        <v>#NAME?</v>
      </c>
      <c r="L5" s="13" t="e">
        <f t="shared" ca="1" si="1"/>
        <v>#NAME?</v>
      </c>
      <c r="M5" s="13" t="e">
        <f t="shared" ca="1" si="1"/>
        <v>#NAME?</v>
      </c>
      <c r="N5" s="13" t="e">
        <f t="shared" ca="1" si="1"/>
        <v>#NAME?</v>
      </c>
      <c r="O5" s="13" t="e">
        <f t="shared" ca="1" si="1"/>
        <v>#NAME?</v>
      </c>
      <c r="P5" s="13" t="e">
        <f t="shared" ca="1" si="1"/>
        <v>#NAME?</v>
      </c>
      <c r="Q5" s="13" t="e">
        <f t="shared" ca="1" si="1"/>
        <v>#NAME?</v>
      </c>
      <c r="R5" s="13" t="e">
        <f t="shared" ca="1" si="2"/>
        <v>#NAME?</v>
      </c>
      <c r="S5" s="13" t="e">
        <f t="shared" ca="1" si="2"/>
        <v>#NAME?</v>
      </c>
      <c r="T5" s="13" t="e">
        <f t="shared" ca="1" si="2"/>
        <v>#NAME?</v>
      </c>
      <c r="U5" s="13" t="e">
        <f t="shared" ca="1" si="2"/>
        <v>#NAME?</v>
      </c>
      <c r="V5" s="14" t="e">
        <f t="shared" ca="1" si="2"/>
        <v>#NAME?</v>
      </c>
    </row>
    <row r="6" spans="1:22" x14ac:dyDescent="0.3">
      <c r="A6" s="18">
        <v>-3</v>
      </c>
      <c r="B6" s="13" t="e">
        <f t="shared" ca="1" si="1"/>
        <v>#NAME?</v>
      </c>
      <c r="C6" s="13" t="e">
        <f t="shared" ca="1" si="1"/>
        <v>#NAME?</v>
      </c>
      <c r="D6" s="13" t="e">
        <f t="shared" ca="1" si="1"/>
        <v>#NAME?</v>
      </c>
      <c r="E6" s="13" t="e">
        <f t="shared" ca="1" si="1"/>
        <v>#NAME?</v>
      </c>
      <c r="F6" s="13" t="e">
        <f t="shared" ca="1" si="1"/>
        <v>#NAME?</v>
      </c>
      <c r="G6" s="13" t="e">
        <f t="shared" ca="1" si="1"/>
        <v>#NAME?</v>
      </c>
      <c r="H6" s="13" t="e">
        <f t="shared" ca="1" si="1"/>
        <v>#NAME?</v>
      </c>
      <c r="I6" s="13" t="e">
        <f t="shared" ca="1" si="1"/>
        <v>#NAME?</v>
      </c>
      <c r="J6" s="13" t="e">
        <f t="shared" ca="1" si="1"/>
        <v>#NAME?</v>
      </c>
      <c r="K6" s="13" t="e">
        <f t="shared" ca="1" si="1"/>
        <v>#NAME?</v>
      </c>
      <c r="L6" s="13" t="e">
        <f t="shared" ca="1" si="1"/>
        <v>#NAME?</v>
      </c>
      <c r="M6" s="13" t="e">
        <f t="shared" ca="1" si="1"/>
        <v>#NAME?</v>
      </c>
      <c r="N6" s="13" t="e">
        <f t="shared" ca="1" si="1"/>
        <v>#NAME?</v>
      </c>
      <c r="O6" s="13" t="e">
        <f t="shared" ca="1" si="1"/>
        <v>#NAME?</v>
      </c>
      <c r="P6" s="13" t="e">
        <f t="shared" ca="1" si="1"/>
        <v>#NAME?</v>
      </c>
      <c r="Q6" s="13" t="e">
        <f t="shared" ca="1" si="1"/>
        <v>#NAME?</v>
      </c>
      <c r="R6" s="13" t="e">
        <f t="shared" ca="1" si="2"/>
        <v>#NAME?</v>
      </c>
      <c r="S6" s="13" t="e">
        <f t="shared" ca="1" si="2"/>
        <v>#NAME?</v>
      </c>
      <c r="T6" s="13" t="e">
        <f t="shared" ca="1" si="2"/>
        <v>#NAME?</v>
      </c>
      <c r="U6" s="13" t="e">
        <f t="shared" ca="1" si="2"/>
        <v>#NAME?</v>
      </c>
      <c r="V6" s="14" t="e">
        <f t="shared" ca="1" si="2"/>
        <v>#NAME?</v>
      </c>
    </row>
    <row r="7" spans="1:22" x14ac:dyDescent="0.3">
      <c r="A7" s="18">
        <v>-2.5</v>
      </c>
      <c r="B7" s="13" t="e">
        <f t="shared" ca="1" si="1"/>
        <v>#NAME?</v>
      </c>
      <c r="C7" s="13" t="e">
        <f t="shared" ca="1" si="1"/>
        <v>#NAME?</v>
      </c>
      <c r="D7" s="13" t="e">
        <f t="shared" ca="1" si="1"/>
        <v>#NAME?</v>
      </c>
      <c r="E7" s="13" t="e">
        <f t="shared" ca="1" si="1"/>
        <v>#NAME?</v>
      </c>
      <c r="F7" s="13" t="e">
        <f t="shared" ca="1" si="1"/>
        <v>#NAME?</v>
      </c>
      <c r="G7" s="13" t="e">
        <f t="shared" ca="1" si="1"/>
        <v>#NAME?</v>
      </c>
      <c r="H7" s="13" t="e">
        <f t="shared" ca="1" si="1"/>
        <v>#NAME?</v>
      </c>
      <c r="I7" s="13" t="e">
        <f t="shared" ca="1" si="1"/>
        <v>#NAME?</v>
      </c>
      <c r="J7" s="13" t="e">
        <f t="shared" ca="1" si="1"/>
        <v>#NAME?</v>
      </c>
      <c r="K7" s="13" t="e">
        <f t="shared" ca="1" si="1"/>
        <v>#NAME?</v>
      </c>
      <c r="L7" s="13" t="e">
        <f t="shared" ca="1" si="1"/>
        <v>#NAME?</v>
      </c>
      <c r="M7" s="13" t="e">
        <f t="shared" ca="1" si="1"/>
        <v>#NAME?</v>
      </c>
      <c r="N7" s="13" t="e">
        <f t="shared" ca="1" si="1"/>
        <v>#NAME?</v>
      </c>
      <c r="O7" s="13" t="e">
        <f t="shared" ca="1" si="1"/>
        <v>#NAME?</v>
      </c>
      <c r="P7" s="13" t="e">
        <f t="shared" ca="1" si="1"/>
        <v>#NAME?</v>
      </c>
      <c r="Q7" s="13" t="e">
        <f t="shared" ca="1" si="1"/>
        <v>#NAME?</v>
      </c>
      <c r="R7" s="13" t="e">
        <f t="shared" ca="1" si="2"/>
        <v>#NAME?</v>
      </c>
      <c r="S7" s="13" t="e">
        <f t="shared" ca="1" si="2"/>
        <v>#NAME?</v>
      </c>
      <c r="T7" s="13" t="e">
        <f t="shared" ca="1" si="2"/>
        <v>#NAME?</v>
      </c>
      <c r="U7" s="13" t="e">
        <f t="shared" ca="1" si="2"/>
        <v>#NAME?</v>
      </c>
      <c r="V7" s="14" t="e">
        <f t="shared" ca="1" si="2"/>
        <v>#NAME?</v>
      </c>
    </row>
    <row r="8" spans="1:22" x14ac:dyDescent="0.3">
      <c r="A8" s="18">
        <v>-2</v>
      </c>
      <c r="B8" s="13" t="e">
        <f t="shared" ca="1" si="1"/>
        <v>#NAME?</v>
      </c>
      <c r="C8" s="13" t="e">
        <f t="shared" ca="1" si="1"/>
        <v>#NAME?</v>
      </c>
      <c r="D8" s="13" t="e">
        <f t="shared" ca="1" si="1"/>
        <v>#NAME?</v>
      </c>
      <c r="E8" s="13" t="e">
        <f t="shared" ca="1" si="1"/>
        <v>#NAME?</v>
      </c>
      <c r="F8" s="13" t="e">
        <f ca="1">func($A8,F$1)</f>
        <v>#NAME?</v>
      </c>
      <c r="G8" s="13" t="e">
        <f t="shared" ca="1" si="1"/>
        <v>#NAME?</v>
      </c>
      <c r="H8" s="13" t="e">
        <f t="shared" ca="1" si="1"/>
        <v>#NAME?</v>
      </c>
      <c r="I8" s="13" t="e">
        <f t="shared" ca="1" si="1"/>
        <v>#NAME?</v>
      </c>
      <c r="J8" s="13" t="e">
        <f t="shared" ca="1" si="1"/>
        <v>#NAME?</v>
      </c>
      <c r="K8" s="13" t="e">
        <f t="shared" ca="1" si="1"/>
        <v>#NAME?</v>
      </c>
      <c r="L8" s="13" t="e">
        <f t="shared" ca="1" si="1"/>
        <v>#NAME?</v>
      </c>
      <c r="M8" s="13" t="e">
        <f t="shared" ca="1" si="1"/>
        <v>#NAME?</v>
      </c>
      <c r="N8" s="13" t="e">
        <f t="shared" ca="1" si="1"/>
        <v>#NAME?</v>
      </c>
      <c r="O8" s="13" t="e">
        <f t="shared" ca="1" si="1"/>
        <v>#NAME?</v>
      </c>
      <c r="P8" s="13" t="e">
        <f t="shared" ca="1" si="1"/>
        <v>#NAME?</v>
      </c>
      <c r="Q8" s="13" t="e">
        <f t="shared" ca="1" si="1"/>
        <v>#NAME?</v>
      </c>
      <c r="R8" s="13" t="e">
        <f t="shared" ca="1" si="2"/>
        <v>#NAME?</v>
      </c>
      <c r="S8" s="13" t="e">
        <f t="shared" ca="1" si="2"/>
        <v>#NAME?</v>
      </c>
      <c r="T8" s="13" t="e">
        <f t="shared" ca="1" si="2"/>
        <v>#NAME?</v>
      </c>
      <c r="U8" s="13" t="e">
        <f t="shared" ca="1" si="2"/>
        <v>#NAME?</v>
      </c>
      <c r="V8" s="14" t="e">
        <f t="shared" ca="1" si="2"/>
        <v>#NAME?</v>
      </c>
    </row>
    <row r="9" spans="1:22" x14ac:dyDescent="0.3">
      <c r="A9" s="18">
        <v>-1.5</v>
      </c>
      <c r="B9" s="13" t="e">
        <f t="shared" ca="1" si="1"/>
        <v>#NAME?</v>
      </c>
      <c r="C9" s="13" t="e">
        <f t="shared" ca="1" si="1"/>
        <v>#NAME?</v>
      </c>
      <c r="D9" s="13" t="e">
        <f t="shared" ca="1" si="1"/>
        <v>#NAME?</v>
      </c>
      <c r="E9" s="13" t="e">
        <f t="shared" ca="1" si="1"/>
        <v>#NAME?</v>
      </c>
      <c r="F9" s="13" t="e">
        <f t="shared" ca="1" si="1"/>
        <v>#NAME?</v>
      </c>
      <c r="G9" s="13" t="e">
        <f t="shared" ca="1" si="1"/>
        <v>#NAME?</v>
      </c>
      <c r="H9" s="13" t="e">
        <f t="shared" ca="1" si="1"/>
        <v>#NAME?</v>
      </c>
      <c r="I9" s="13" t="e">
        <f t="shared" ca="1" si="1"/>
        <v>#NAME?</v>
      </c>
      <c r="J9" s="13" t="e">
        <f t="shared" ca="1" si="1"/>
        <v>#NAME?</v>
      </c>
      <c r="K9" s="13" t="e">
        <f t="shared" ca="1" si="1"/>
        <v>#NAME?</v>
      </c>
      <c r="L9" s="13" t="e">
        <f t="shared" ca="1" si="1"/>
        <v>#NAME?</v>
      </c>
      <c r="M9" s="13" t="e">
        <f t="shared" ca="1" si="1"/>
        <v>#NAME?</v>
      </c>
      <c r="N9" s="13" t="e">
        <f t="shared" ca="1" si="1"/>
        <v>#NAME?</v>
      </c>
      <c r="O9" s="13" t="e">
        <f t="shared" ca="1" si="1"/>
        <v>#NAME?</v>
      </c>
      <c r="P9" s="13" t="e">
        <f t="shared" ca="1" si="1"/>
        <v>#NAME?</v>
      </c>
      <c r="Q9" s="13" t="e">
        <f t="shared" ca="1" si="1"/>
        <v>#NAME?</v>
      </c>
      <c r="R9" s="13" t="e">
        <f t="shared" ca="1" si="2"/>
        <v>#NAME?</v>
      </c>
      <c r="S9" s="13" t="e">
        <f t="shared" ca="1" si="2"/>
        <v>#NAME?</v>
      </c>
      <c r="T9" s="13" t="e">
        <f t="shared" ca="1" si="2"/>
        <v>#NAME?</v>
      </c>
      <c r="U9" s="13" t="e">
        <f t="shared" ca="1" si="2"/>
        <v>#NAME?</v>
      </c>
      <c r="V9" s="14" t="e">
        <f t="shared" ca="1" si="2"/>
        <v>#NAME?</v>
      </c>
    </row>
    <row r="10" spans="1:22" x14ac:dyDescent="0.3">
      <c r="A10" s="18">
        <v>-1</v>
      </c>
      <c r="B10" s="13" t="e">
        <f t="shared" ca="1" si="1"/>
        <v>#NAME?</v>
      </c>
      <c r="C10" s="13" t="e">
        <f t="shared" ca="1" si="1"/>
        <v>#NAME?</v>
      </c>
      <c r="D10" s="13" t="e">
        <f t="shared" ca="1" si="1"/>
        <v>#NAME?</v>
      </c>
      <c r="E10" s="13" t="e">
        <f t="shared" ca="1" si="1"/>
        <v>#NAME?</v>
      </c>
      <c r="F10" s="13" t="e">
        <f t="shared" ca="1" si="1"/>
        <v>#NAME?</v>
      </c>
      <c r="G10" s="13" t="e">
        <f t="shared" ca="1" si="1"/>
        <v>#NAME?</v>
      </c>
      <c r="H10" s="13" t="e">
        <f t="shared" ca="1" si="1"/>
        <v>#NAME?</v>
      </c>
      <c r="I10" s="13" t="e">
        <f t="shared" ca="1" si="1"/>
        <v>#NAME?</v>
      </c>
      <c r="J10" s="13" t="e">
        <f t="shared" ca="1" si="1"/>
        <v>#NAME?</v>
      </c>
      <c r="K10" s="13" t="e">
        <f t="shared" ca="1" si="1"/>
        <v>#NAME?</v>
      </c>
      <c r="L10" s="13" t="e">
        <f t="shared" ca="1" si="1"/>
        <v>#NAME?</v>
      </c>
      <c r="M10" s="13" t="e">
        <f t="shared" ca="1" si="1"/>
        <v>#NAME?</v>
      </c>
      <c r="N10" s="13" t="e">
        <f t="shared" ca="1" si="1"/>
        <v>#NAME?</v>
      </c>
      <c r="O10" s="13" t="e">
        <f t="shared" ca="1" si="1"/>
        <v>#NAME?</v>
      </c>
      <c r="P10" s="13" t="e">
        <f t="shared" ca="1" si="1"/>
        <v>#NAME?</v>
      </c>
      <c r="Q10" s="13" t="e">
        <f t="shared" ca="1" si="1"/>
        <v>#NAME?</v>
      </c>
      <c r="R10" s="13" t="e">
        <f t="shared" ca="1" si="2"/>
        <v>#NAME?</v>
      </c>
      <c r="S10" s="13" t="e">
        <f t="shared" ca="1" si="2"/>
        <v>#NAME?</v>
      </c>
      <c r="T10" s="13" t="e">
        <f t="shared" ca="1" si="2"/>
        <v>#NAME?</v>
      </c>
      <c r="U10" s="13" t="e">
        <f t="shared" ca="1" si="2"/>
        <v>#NAME?</v>
      </c>
      <c r="V10" s="14" t="e">
        <f t="shared" ca="1" si="2"/>
        <v>#NAME?</v>
      </c>
    </row>
    <row r="11" spans="1:22" x14ac:dyDescent="0.3">
      <c r="A11" s="18">
        <v>-0.5</v>
      </c>
      <c r="B11" s="13" t="e">
        <f t="shared" ca="1" si="1"/>
        <v>#NAME?</v>
      </c>
      <c r="C11" s="13" t="e">
        <f t="shared" ca="1" si="1"/>
        <v>#NAME?</v>
      </c>
      <c r="D11" s="13" t="e">
        <f t="shared" ca="1" si="1"/>
        <v>#NAME?</v>
      </c>
      <c r="E11" s="13" t="e">
        <f t="shared" ca="1" si="1"/>
        <v>#NAME?</v>
      </c>
      <c r="F11" s="13" t="e">
        <f t="shared" ca="1" si="1"/>
        <v>#NAME?</v>
      </c>
      <c r="G11" s="13" t="e">
        <f t="shared" ca="1" si="1"/>
        <v>#NAME?</v>
      </c>
      <c r="H11" s="13" t="e">
        <f t="shared" ca="1" si="1"/>
        <v>#NAME?</v>
      </c>
      <c r="I11" s="13" t="e">
        <f t="shared" ca="1" si="1"/>
        <v>#NAME?</v>
      </c>
      <c r="J11" s="13" t="e">
        <f t="shared" ca="1" si="1"/>
        <v>#NAME?</v>
      </c>
      <c r="K11" s="13" t="e">
        <f t="shared" ca="1" si="1"/>
        <v>#NAME?</v>
      </c>
      <c r="L11" s="13" t="e">
        <f t="shared" ca="1" si="1"/>
        <v>#NAME?</v>
      </c>
      <c r="M11" s="13" t="e">
        <f t="shared" ca="1" si="1"/>
        <v>#NAME?</v>
      </c>
      <c r="N11" s="13" t="e">
        <f t="shared" ca="1" si="1"/>
        <v>#NAME?</v>
      </c>
      <c r="O11" s="13" t="e">
        <f t="shared" ca="1" si="1"/>
        <v>#NAME?</v>
      </c>
      <c r="P11" s="13" t="e">
        <f t="shared" ca="1" si="1"/>
        <v>#NAME?</v>
      </c>
      <c r="Q11" s="13" t="e">
        <f t="shared" ca="1" si="1"/>
        <v>#NAME?</v>
      </c>
      <c r="R11" s="13" t="e">
        <f t="shared" ca="1" si="2"/>
        <v>#NAME?</v>
      </c>
      <c r="S11" s="13" t="e">
        <f t="shared" ca="1" si="2"/>
        <v>#NAME?</v>
      </c>
      <c r="T11" s="13" t="e">
        <f t="shared" ca="1" si="2"/>
        <v>#NAME?</v>
      </c>
      <c r="U11" s="13" t="e">
        <f t="shared" ca="1" si="2"/>
        <v>#NAME?</v>
      </c>
      <c r="V11" s="14" t="e">
        <f t="shared" ca="1" si="2"/>
        <v>#NAME?</v>
      </c>
    </row>
    <row r="12" spans="1:22" x14ac:dyDescent="0.3">
      <c r="A12" s="18">
        <v>0</v>
      </c>
      <c r="B12" s="13" t="e">
        <f t="shared" ca="1" si="1"/>
        <v>#NAME?</v>
      </c>
      <c r="C12" s="13" t="e">
        <f t="shared" ca="1" si="1"/>
        <v>#NAME?</v>
      </c>
      <c r="D12" s="13" t="e">
        <f t="shared" ca="1" si="1"/>
        <v>#NAME?</v>
      </c>
      <c r="E12" s="13" t="e">
        <f t="shared" ca="1" si="1"/>
        <v>#NAME?</v>
      </c>
      <c r="F12" s="13" t="e">
        <f t="shared" ca="1" si="1"/>
        <v>#NAME?</v>
      </c>
      <c r="G12" s="13" t="e">
        <f t="shared" ca="1" si="1"/>
        <v>#NAME?</v>
      </c>
      <c r="H12" s="13" t="e">
        <f t="shared" ca="1" si="1"/>
        <v>#NAME?</v>
      </c>
      <c r="I12" s="13" t="e">
        <f t="shared" ca="1" si="1"/>
        <v>#NAME?</v>
      </c>
      <c r="J12" s="13" t="e">
        <f t="shared" ca="1" si="1"/>
        <v>#NAME?</v>
      </c>
      <c r="K12" s="13" t="e">
        <f t="shared" ca="1" si="1"/>
        <v>#NAME?</v>
      </c>
      <c r="L12" s="13" t="e">
        <f t="shared" ca="1" si="1"/>
        <v>#NAME?</v>
      </c>
      <c r="M12" s="13" t="e">
        <f t="shared" ca="1" si="1"/>
        <v>#NAME?</v>
      </c>
      <c r="N12" s="13" t="e">
        <f t="shared" ca="1" si="1"/>
        <v>#NAME?</v>
      </c>
      <c r="O12" s="13" t="e">
        <f t="shared" ca="1" si="1"/>
        <v>#NAME?</v>
      </c>
      <c r="P12" s="13" t="e">
        <f t="shared" ca="1" si="1"/>
        <v>#NAME?</v>
      </c>
      <c r="Q12" s="13" t="e">
        <f t="shared" ca="1" si="1"/>
        <v>#NAME?</v>
      </c>
      <c r="R12" s="13" t="e">
        <f t="shared" ca="1" si="2"/>
        <v>#NAME?</v>
      </c>
      <c r="S12" s="13" t="e">
        <f t="shared" ca="1" si="2"/>
        <v>#NAME?</v>
      </c>
      <c r="T12" s="13" t="e">
        <f t="shared" ca="1" si="2"/>
        <v>#NAME?</v>
      </c>
      <c r="U12" s="13" t="e">
        <f t="shared" ca="1" si="2"/>
        <v>#NAME?</v>
      </c>
      <c r="V12" s="14" t="e">
        <f t="shared" ca="1" si="2"/>
        <v>#NAME?</v>
      </c>
    </row>
    <row r="13" spans="1:22" x14ac:dyDescent="0.3">
      <c r="A13" s="18">
        <v>0.5</v>
      </c>
      <c r="B13" s="13" t="e">
        <f t="shared" ca="1" si="1"/>
        <v>#NAME?</v>
      </c>
      <c r="C13" s="13" t="e">
        <f t="shared" ca="1" si="1"/>
        <v>#NAME?</v>
      </c>
      <c r="D13" s="13" t="e">
        <f t="shared" ca="1" si="1"/>
        <v>#NAME?</v>
      </c>
      <c r="E13" s="13" t="e">
        <f t="shared" ca="1" si="1"/>
        <v>#NAME?</v>
      </c>
      <c r="F13" s="13" t="e">
        <f t="shared" ca="1" si="1"/>
        <v>#NAME?</v>
      </c>
      <c r="G13" s="13" t="e">
        <f t="shared" ca="1" si="1"/>
        <v>#NAME?</v>
      </c>
      <c r="H13" s="13" t="e">
        <f t="shared" ca="1" si="1"/>
        <v>#NAME?</v>
      </c>
      <c r="I13" s="13" t="e">
        <f t="shared" ca="1" si="1"/>
        <v>#NAME?</v>
      </c>
      <c r="J13" s="13" t="e">
        <f t="shared" ca="1" si="1"/>
        <v>#NAME?</v>
      </c>
      <c r="K13" s="13" t="e">
        <f t="shared" ca="1" si="1"/>
        <v>#NAME?</v>
      </c>
      <c r="L13" s="13" t="e">
        <f t="shared" ca="1" si="1"/>
        <v>#NAME?</v>
      </c>
      <c r="M13" s="13" t="e">
        <f t="shared" ca="1" si="1"/>
        <v>#NAME?</v>
      </c>
      <c r="N13" s="13" t="e">
        <f t="shared" ca="1" si="1"/>
        <v>#NAME?</v>
      </c>
      <c r="O13" s="13" t="e">
        <f t="shared" ca="1" si="1"/>
        <v>#NAME?</v>
      </c>
      <c r="P13" s="13" t="e">
        <f t="shared" ca="1" si="1"/>
        <v>#NAME?</v>
      </c>
      <c r="Q13" s="13" t="e">
        <f t="shared" ca="1" si="1"/>
        <v>#NAME?</v>
      </c>
      <c r="R13" s="13" t="e">
        <f t="shared" ca="1" si="2"/>
        <v>#NAME?</v>
      </c>
      <c r="S13" s="13" t="e">
        <f t="shared" ca="1" si="2"/>
        <v>#NAME?</v>
      </c>
      <c r="T13" s="13" t="e">
        <f t="shared" ca="1" si="2"/>
        <v>#NAME?</v>
      </c>
      <c r="U13" s="13" t="e">
        <f t="shared" ca="1" si="2"/>
        <v>#NAME?</v>
      </c>
      <c r="V13" s="14" t="e">
        <f t="shared" ca="1" si="2"/>
        <v>#NAME?</v>
      </c>
    </row>
    <row r="14" spans="1:22" x14ac:dyDescent="0.3">
      <c r="A14" s="18">
        <v>1</v>
      </c>
      <c r="B14" s="13" t="e">
        <f t="shared" ca="1" si="1"/>
        <v>#NAME?</v>
      </c>
      <c r="C14" s="13" t="e">
        <f t="shared" ca="1" si="1"/>
        <v>#NAME?</v>
      </c>
      <c r="D14" s="13" t="e">
        <f t="shared" ca="1" si="1"/>
        <v>#NAME?</v>
      </c>
      <c r="E14" s="13" t="e">
        <f t="shared" ca="1" si="1"/>
        <v>#NAME?</v>
      </c>
      <c r="F14" s="13" t="e">
        <f t="shared" ca="1" si="1"/>
        <v>#NAME?</v>
      </c>
      <c r="G14" s="13" t="e">
        <f t="shared" ca="1" si="1"/>
        <v>#NAME?</v>
      </c>
      <c r="H14" s="13" t="e">
        <f t="shared" ca="1" si="1"/>
        <v>#NAME?</v>
      </c>
      <c r="I14" s="13" t="e">
        <f t="shared" ca="1" si="1"/>
        <v>#NAME?</v>
      </c>
      <c r="J14" s="13" t="e">
        <f t="shared" ca="1" si="1"/>
        <v>#NAME?</v>
      </c>
      <c r="K14" s="13" t="e">
        <f t="shared" ca="1" si="1"/>
        <v>#NAME?</v>
      </c>
      <c r="L14" s="13" t="e">
        <f t="shared" ca="1" si="1"/>
        <v>#NAME?</v>
      </c>
      <c r="M14" s="13" t="e">
        <f t="shared" ca="1" si="1"/>
        <v>#NAME?</v>
      </c>
      <c r="N14" s="13" t="e">
        <f t="shared" ca="1" si="1"/>
        <v>#NAME?</v>
      </c>
      <c r="O14" s="13" t="e">
        <f t="shared" ca="1" si="1"/>
        <v>#NAME?</v>
      </c>
      <c r="P14" s="13" t="e">
        <f t="shared" ca="1" si="1"/>
        <v>#NAME?</v>
      </c>
      <c r="Q14" s="13" t="e">
        <f t="shared" ca="1" si="1"/>
        <v>#NAME?</v>
      </c>
      <c r="R14" s="13" t="e">
        <f t="shared" ca="1" si="2"/>
        <v>#NAME?</v>
      </c>
      <c r="S14" s="13" t="e">
        <f t="shared" ca="1" si="2"/>
        <v>#NAME?</v>
      </c>
      <c r="T14" s="13" t="e">
        <f t="shared" ca="1" si="2"/>
        <v>#NAME?</v>
      </c>
      <c r="U14" s="13" t="e">
        <f t="shared" ca="1" si="2"/>
        <v>#NAME?</v>
      </c>
      <c r="V14" s="14" t="e">
        <f t="shared" ca="1" si="2"/>
        <v>#NAME?</v>
      </c>
    </row>
    <row r="15" spans="1:22" x14ac:dyDescent="0.3">
      <c r="A15" s="18">
        <v>1.5</v>
      </c>
      <c r="B15" s="13" t="e">
        <f t="shared" ca="1" si="1"/>
        <v>#NAME?</v>
      </c>
      <c r="C15" s="13" t="e">
        <f t="shared" ca="1" si="1"/>
        <v>#NAME?</v>
      </c>
      <c r="D15" s="13" t="e">
        <f t="shared" ca="1" si="1"/>
        <v>#NAME?</v>
      </c>
      <c r="E15" s="13" t="e">
        <f t="shared" ca="1" si="1"/>
        <v>#NAME?</v>
      </c>
      <c r="F15" s="13" t="e">
        <f t="shared" ca="1" si="1"/>
        <v>#NAME?</v>
      </c>
      <c r="G15" s="13" t="e">
        <f t="shared" ca="1" si="1"/>
        <v>#NAME?</v>
      </c>
      <c r="H15" s="13" t="e">
        <f t="shared" ca="1" si="1"/>
        <v>#NAME?</v>
      </c>
      <c r="I15" s="13" t="e">
        <f t="shared" ca="1" si="1"/>
        <v>#NAME?</v>
      </c>
      <c r="J15" s="13" t="e">
        <f t="shared" ca="1" si="1"/>
        <v>#NAME?</v>
      </c>
      <c r="K15" s="13" t="e">
        <f t="shared" ca="1" si="1"/>
        <v>#NAME?</v>
      </c>
      <c r="L15" s="13" t="e">
        <f t="shared" ca="1" si="1"/>
        <v>#NAME?</v>
      </c>
      <c r="M15" s="13" t="e">
        <f t="shared" ca="1" si="1"/>
        <v>#NAME?</v>
      </c>
      <c r="N15" s="13" t="e">
        <f t="shared" ca="1" si="1"/>
        <v>#NAME?</v>
      </c>
      <c r="O15" s="13" t="e">
        <f t="shared" ca="1" si="1"/>
        <v>#NAME?</v>
      </c>
      <c r="P15" s="13" t="e">
        <f t="shared" ca="1" si="1"/>
        <v>#NAME?</v>
      </c>
      <c r="Q15" s="13" t="e">
        <f t="shared" ca="1" si="1"/>
        <v>#NAME?</v>
      </c>
      <c r="R15" s="13" t="e">
        <f t="shared" ca="1" si="2"/>
        <v>#NAME?</v>
      </c>
      <c r="S15" s="13" t="e">
        <f t="shared" ca="1" si="2"/>
        <v>#NAME?</v>
      </c>
      <c r="T15" s="13" t="e">
        <f t="shared" ca="1" si="2"/>
        <v>#NAME?</v>
      </c>
      <c r="U15" s="13" t="e">
        <f t="shared" ca="1" si="2"/>
        <v>#NAME?</v>
      </c>
      <c r="V15" s="14" t="e">
        <f t="shared" ca="1" si="2"/>
        <v>#NAME?</v>
      </c>
    </row>
    <row r="16" spans="1:22" x14ac:dyDescent="0.3">
      <c r="A16" s="18">
        <v>2</v>
      </c>
      <c r="B16" s="13" t="e">
        <f t="shared" ca="1" si="1"/>
        <v>#NAME?</v>
      </c>
      <c r="C16" s="13" t="e">
        <f t="shared" ca="1" si="1"/>
        <v>#NAME?</v>
      </c>
      <c r="D16" s="13" t="e">
        <f t="shared" ca="1" si="1"/>
        <v>#NAME?</v>
      </c>
      <c r="E16" s="13" t="e">
        <f t="shared" ca="1" si="1"/>
        <v>#NAME?</v>
      </c>
      <c r="F16" s="13" t="e">
        <f t="shared" ca="1" si="1"/>
        <v>#NAME?</v>
      </c>
      <c r="G16" s="13" t="e">
        <f t="shared" ca="1" si="1"/>
        <v>#NAME?</v>
      </c>
      <c r="H16" s="13" t="e">
        <f t="shared" ca="1" si="1"/>
        <v>#NAME?</v>
      </c>
      <c r="I16" s="13" t="e">
        <f t="shared" ca="1" si="1"/>
        <v>#NAME?</v>
      </c>
      <c r="J16" s="13" t="e">
        <f t="shared" ca="1" si="1"/>
        <v>#NAME?</v>
      </c>
      <c r="K16" s="13" t="e">
        <f t="shared" ca="1" si="1"/>
        <v>#NAME?</v>
      </c>
      <c r="L16" s="13" t="e">
        <f t="shared" ca="1" si="1"/>
        <v>#NAME?</v>
      </c>
      <c r="M16" s="13" t="e">
        <f t="shared" ca="1" si="1"/>
        <v>#NAME?</v>
      </c>
      <c r="N16" s="13" t="e">
        <f t="shared" ca="1" si="1"/>
        <v>#NAME?</v>
      </c>
      <c r="O16" s="13" t="e">
        <f t="shared" ca="1" si="1"/>
        <v>#NAME?</v>
      </c>
      <c r="P16" s="13" t="e">
        <f t="shared" ca="1" si="1"/>
        <v>#NAME?</v>
      </c>
      <c r="Q16" s="13" t="e">
        <f t="shared" ca="1" si="1"/>
        <v>#NAME?</v>
      </c>
      <c r="R16" s="13" t="e">
        <f t="shared" ca="1" si="2"/>
        <v>#NAME?</v>
      </c>
      <c r="S16" s="13" t="e">
        <f t="shared" ca="1" si="2"/>
        <v>#NAME?</v>
      </c>
      <c r="T16" s="13" t="e">
        <f t="shared" ca="1" si="2"/>
        <v>#NAME?</v>
      </c>
      <c r="U16" s="13" t="e">
        <f t="shared" ca="1" si="2"/>
        <v>#NAME?</v>
      </c>
      <c r="V16" s="14" t="e">
        <f t="shared" ca="1" si="2"/>
        <v>#NAME?</v>
      </c>
    </row>
    <row r="17" spans="1:22" x14ac:dyDescent="0.3">
      <c r="A17" s="18">
        <v>2.5</v>
      </c>
      <c r="B17" s="13" t="e">
        <f t="shared" ca="1" si="1"/>
        <v>#NAME?</v>
      </c>
      <c r="C17" s="13" t="e">
        <f t="shared" ca="1" si="1"/>
        <v>#NAME?</v>
      </c>
      <c r="D17" s="13" t="e">
        <f t="shared" ca="1" si="1"/>
        <v>#NAME?</v>
      </c>
      <c r="E17" s="13" t="e">
        <f t="shared" ca="1" si="1"/>
        <v>#NAME?</v>
      </c>
      <c r="F17" s="13" t="e">
        <f t="shared" ca="1" si="1"/>
        <v>#NAME?</v>
      </c>
      <c r="G17" s="13" t="e">
        <f t="shared" ca="1" si="1"/>
        <v>#NAME?</v>
      </c>
      <c r="H17" s="13" t="e">
        <f t="shared" ca="1" si="1"/>
        <v>#NAME?</v>
      </c>
      <c r="I17" s="13" t="e">
        <f t="shared" ca="1" si="1"/>
        <v>#NAME?</v>
      </c>
      <c r="J17" s="13" t="e">
        <f t="shared" ca="1" si="1"/>
        <v>#NAME?</v>
      </c>
      <c r="K17" s="13" t="e">
        <f t="shared" ca="1" si="1"/>
        <v>#NAME?</v>
      </c>
      <c r="L17" s="13" t="e">
        <f t="shared" ca="1" si="1"/>
        <v>#NAME?</v>
      </c>
      <c r="M17" s="13" t="e">
        <f t="shared" ca="1" si="1"/>
        <v>#NAME?</v>
      </c>
      <c r="N17" s="13" t="e">
        <f t="shared" ca="1" si="1"/>
        <v>#NAME?</v>
      </c>
      <c r="O17" s="13" t="e">
        <f t="shared" ca="1" si="1"/>
        <v>#NAME?</v>
      </c>
      <c r="P17" s="13" t="e">
        <f t="shared" ca="1" si="1"/>
        <v>#NAME?</v>
      </c>
      <c r="Q17" s="13" t="e">
        <f t="shared" ca="1" si="1"/>
        <v>#NAME?</v>
      </c>
      <c r="R17" s="13" t="e">
        <f t="shared" ca="1" si="2"/>
        <v>#NAME?</v>
      </c>
      <c r="S17" s="13" t="e">
        <f t="shared" ca="1" si="2"/>
        <v>#NAME?</v>
      </c>
      <c r="T17" s="13" t="e">
        <f t="shared" ca="1" si="2"/>
        <v>#NAME?</v>
      </c>
      <c r="U17" s="13" t="e">
        <f t="shared" ca="1" si="2"/>
        <v>#NAME?</v>
      </c>
      <c r="V17" s="14" t="e">
        <f t="shared" ca="1" si="2"/>
        <v>#NAME?</v>
      </c>
    </row>
    <row r="18" spans="1:22" x14ac:dyDescent="0.3">
      <c r="A18" s="18">
        <v>3</v>
      </c>
      <c r="B18" s="13" t="e">
        <f t="shared" ca="1" si="1"/>
        <v>#NAME?</v>
      </c>
      <c r="C18" s="13" t="e">
        <f t="shared" ca="1" si="1"/>
        <v>#NAME?</v>
      </c>
      <c r="D18" s="13" t="e">
        <f t="shared" ca="1" si="1"/>
        <v>#NAME?</v>
      </c>
      <c r="E18" s="13" t="e">
        <f t="shared" ca="1" si="1"/>
        <v>#NAME?</v>
      </c>
      <c r="F18" s="13" t="e">
        <f t="shared" ca="1" si="1"/>
        <v>#NAME?</v>
      </c>
      <c r="G18" s="13" t="e">
        <f t="shared" ca="1" si="1"/>
        <v>#NAME?</v>
      </c>
      <c r="H18" s="13" t="e">
        <f t="shared" ca="1" si="1"/>
        <v>#NAME?</v>
      </c>
      <c r="I18" s="13" t="e">
        <f t="shared" ca="1" si="1"/>
        <v>#NAME?</v>
      </c>
      <c r="J18" s="13" t="e">
        <f t="shared" ca="1" si="1"/>
        <v>#NAME?</v>
      </c>
      <c r="K18" s="13" t="e">
        <f t="shared" ca="1" si="1"/>
        <v>#NAME?</v>
      </c>
      <c r="L18" s="13" t="e">
        <f t="shared" ca="1" si="1"/>
        <v>#NAME?</v>
      </c>
      <c r="M18" s="13" t="e">
        <f t="shared" ca="1" si="1"/>
        <v>#NAME?</v>
      </c>
      <c r="N18" s="13" t="e">
        <f t="shared" ca="1" si="1"/>
        <v>#NAME?</v>
      </c>
      <c r="O18" s="13" t="e">
        <f t="shared" ca="1" si="1"/>
        <v>#NAME?</v>
      </c>
      <c r="P18" s="13" t="e">
        <f t="shared" ca="1" si="1"/>
        <v>#NAME?</v>
      </c>
      <c r="Q18" s="13" t="e">
        <f t="shared" ref="Q18:V22" ca="1" si="3">func($A18,Q$1)</f>
        <v>#NAME?</v>
      </c>
      <c r="R18" s="13" t="e">
        <f t="shared" ca="1" si="3"/>
        <v>#NAME?</v>
      </c>
      <c r="S18" s="13" t="e">
        <f t="shared" ca="1" si="3"/>
        <v>#NAME?</v>
      </c>
      <c r="T18" s="13" t="e">
        <f t="shared" ca="1" si="3"/>
        <v>#NAME?</v>
      </c>
      <c r="U18" s="13" t="e">
        <f t="shared" ca="1" si="3"/>
        <v>#NAME?</v>
      </c>
      <c r="V18" s="14" t="e">
        <f t="shared" ca="1" si="3"/>
        <v>#NAME?</v>
      </c>
    </row>
    <row r="19" spans="1:22" x14ac:dyDescent="0.3">
      <c r="A19" s="18">
        <v>3.5</v>
      </c>
      <c r="B19" s="13" t="e">
        <f t="shared" ref="B19:Q22" ca="1" si="4">func($A19,B$1)</f>
        <v>#NAME?</v>
      </c>
      <c r="C19" s="13" t="e">
        <f t="shared" ca="1" si="4"/>
        <v>#NAME?</v>
      </c>
      <c r="D19" s="13" t="e">
        <f t="shared" ca="1" si="4"/>
        <v>#NAME?</v>
      </c>
      <c r="E19" s="13" t="e">
        <f t="shared" ca="1" si="4"/>
        <v>#NAME?</v>
      </c>
      <c r="F19" s="13" t="e">
        <f t="shared" ca="1" si="4"/>
        <v>#NAME?</v>
      </c>
      <c r="G19" s="13" t="e">
        <f t="shared" ca="1" si="4"/>
        <v>#NAME?</v>
      </c>
      <c r="H19" s="13" t="e">
        <f t="shared" ca="1" si="4"/>
        <v>#NAME?</v>
      </c>
      <c r="I19" s="13" t="e">
        <f t="shared" ca="1" si="4"/>
        <v>#NAME?</v>
      </c>
      <c r="J19" s="13" t="e">
        <f t="shared" ca="1" si="4"/>
        <v>#NAME?</v>
      </c>
      <c r="K19" s="13" t="e">
        <f t="shared" ca="1" si="4"/>
        <v>#NAME?</v>
      </c>
      <c r="L19" s="13" t="e">
        <f t="shared" ca="1" si="4"/>
        <v>#NAME?</v>
      </c>
      <c r="M19" s="13" t="e">
        <f t="shared" ca="1" si="4"/>
        <v>#NAME?</v>
      </c>
      <c r="N19" s="13" t="e">
        <f t="shared" ca="1" si="4"/>
        <v>#NAME?</v>
      </c>
      <c r="O19" s="13" t="e">
        <f t="shared" ca="1" si="4"/>
        <v>#NAME?</v>
      </c>
      <c r="P19" s="13" t="e">
        <f t="shared" ca="1" si="4"/>
        <v>#NAME?</v>
      </c>
      <c r="Q19" s="13" t="e">
        <f t="shared" ca="1" si="4"/>
        <v>#NAME?</v>
      </c>
      <c r="R19" s="13" t="e">
        <f t="shared" ca="1" si="3"/>
        <v>#NAME?</v>
      </c>
      <c r="S19" s="13" t="e">
        <f t="shared" ca="1" si="3"/>
        <v>#NAME?</v>
      </c>
      <c r="T19" s="13" t="e">
        <f t="shared" ca="1" si="3"/>
        <v>#NAME?</v>
      </c>
      <c r="U19" s="13" t="e">
        <f t="shared" ca="1" si="3"/>
        <v>#NAME?</v>
      </c>
      <c r="V19" s="14" t="e">
        <f t="shared" ca="1" si="3"/>
        <v>#NAME?</v>
      </c>
    </row>
    <row r="20" spans="1:22" x14ac:dyDescent="0.3">
      <c r="A20" s="18">
        <v>4</v>
      </c>
      <c r="B20" s="13" t="e">
        <f t="shared" ca="1" si="4"/>
        <v>#NAME?</v>
      </c>
      <c r="C20" s="13" t="e">
        <f t="shared" ca="1" si="4"/>
        <v>#NAME?</v>
      </c>
      <c r="D20" s="13" t="e">
        <f t="shared" ca="1" si="4"/>
        <v>#NAME?</v>
      </c>
      <c r="E20" s="13" t="e">
        <f t="shared" ca="1" si="4"/>
        <v>#NAME?</v>
      </c>
      <c r="F20" s="13" t="e">
        <f t="shared" ca="1" si="4"/>
        <v>#NAME?</v>
      </c>
      <c r="G20" s="13" t="e">
        <f t="shared" ca="1" si="4"/>
        <v>#NAME?</v>
      </c>
      <c r="H20" s="13" t="e">
        <f t="shared" ca="1" si="4"/>
        <v>#NAME?</v>
      </c>
      <c r="I20" s="13" t="e">
        <f t="shared" ca="1" si="4"/>
        <v>#NAME?</v>
      </c>
      <c r="J20" s="13" t="e">
        <f t="shared" ca="1" si="4"/>
        <v>#NAME?</v>
      </c>
      <c r="K20" s="13" t="e">
        <f t="shared" ca="1" si="4"/>
        <v>#NAME?</v>
      </c>
      <c r="L20" s="13" t="e">
        <f t="shared" ca="1" si="4"/>
        <v>#NAME?</v>
      </c>
      <c r="M20" s="13" t="e">
        <f t="shared" ca="1" si="4"/>
        <v>#NAME?</v>
      </c>
      <c r="N20" s="13" t="e">
        <f t="shared" ca="1" si="4"/>
        <v>#NAME?</v>
      </c>
      <c r="O20" s="13" t="e">
        <f t="shared" ca="1" si="4"/>
        <v>#NAME?</v>
      </c>
      <c r="P20" s="13" t="e">
        <f t="shared" ca="1" si="4"/>
        <v>#NAME?</v>
      </c>
      <c r="Q20" s="13" t="e">
        <f t="shared" ca="1" si="4"/>
        <v>#NAME?</v>
      </c>
      <c r="R20" s="13" t="e">
        <f t="shared" ca="1" si="3"/>
        <v>#NAME?</v>
      </c>
      <c r="S20" s="13" t="e">
        <f t="shared" ca="1" si="3"/>
        <v>#NAME?</v>
      </c>
      <c r="T20" s="13" t="e">
        <f t="shared" ca="1" si="3"/>
        <v>#NAME?</v>
      </c>
      <c r="U20" s="13" t="e">
        <f t="shared" ca="1" si="3"/>
        <v>#NAME?</v>
      </c>
      <c r="V20" s="14" t="e">
        <f t="shared" ca="1" si="3"/>
        <v>#NAME?</v>
      </c>
    </row>
    <row r="21" spans="1:22" x14ac:dyDescent="0.3">
      <c r="A21" s="18">
        <v>4.5</v>
      </c>
      <c r="B21" s="13" t="e">
        <f t="shared" ca="1" si="4"/>
        <v>#NAME?</v>
      </c>
      <c r="C21" s="13" t="e">
        <f t="shared" ca="1" si="4"/>
        <v>#NAME?</v>
      </c>
      <c r="D21" s="13" t="e">
        <f t="shared" ca="1" si="4"/>
        <v>#NAME?</v>
      </c>
      <c r="E21" s="13" t="e">
        <f t="shared" ca="1" si="4"/>
        <v>#NAME?</v>
      </c>
      <c r="F21" s="13" t="e">
        <f t="shared" ca="1" si="4"/>
        <v>#NAME?</v>
      </c>
      <c r="G21" s="13" t="e">
        <f t="shared" ca="1" si="4"/>
        <v>#NAME?</v>
      </c>
      <c r="H21" s="13" t="e">
        <f t="shared" ca="1" si="4"/>
        <v>#NAME?</v>
      </c>
      <c r="I21" s="13" t="e">
        <f t="shared" ca="1" si="4"/>
        <v>#NAME?</v>
      </c>
      <c r="J21" s="13" t="e">
        <f t="shared" ca="1" si="4"/>
        <v>#NAME?</v>
      </c>
      <c r="K21" s="13" t="e">
        <f t="shared" ca="1" si="4"/>
        <v>#NAME?</v>
      </c>
      <c r="L21" s="13" t="e">
        <f t="shared" ca="1" si="4"/>
        <v>#NAME?</v>
      </c>
      <c r="M21" s="13" t="e">
        <f t="shared" ca="1" si="4"/>
        <v>#NAME?</v>
      </c>
      <c r="N21" s="13" t="e">
        <f t="shared" ca="1" si="4"/>
        <v>#NAME?</v>
      </c>
      <c r="O21" s="13" t="e">
        <f t="shared" ca="1" si="4"/>
        <v>#NAME?</v>
      </c>
      <c r="P21" s="13" t="e">
        <f t="shared" ca="1" si="4"/>
        <v>#NAME?</v>
      </c>
      <c r="Q21" s="13" t="e">
        <f t="shared" ca="1" si="4"/>
        <v>#NAME?</v>
      </c>
      <c r="R21" s="13" t="e">
        <f t="shared" ca="1" si="3"/>
        <v>#NAME?</v>
      </c>
      <c r="S21" s="13" t="e">
        <f t="shared" ca="1" si="3"/>
        <v>#NAME?</v>
      </c>
      <c r="T21" s="13" t="e">
        <f t="shared" ca="1" si="3"/>
        <v>#NAME?</v>
      </c>
      <c r="U21" s="13" t="e">
        <f t="shared" ca="1" si="3"/>
        <v>#NAME?</v>
      </c>
      <c r="V21" s="14" t="e">
        <f t="shared" ca="1" si="3"/>
        <v>#NAME?</v>
      </c>
    </row>
    <row r="22" spans="1:22" x14ac:dyDescent="0.3">
      <c r="A22" s="19">
        <v>5</v>
      </c>
      <c r="B22" s="15" t="e">
        <f t="shared" ca="1" si="4"/>
        <v>#NAME?</v>
      </c>
      <c r="C22" s="15" t="e">
        <f t="shared" ca="1" si="4"/>
        <v>#NAME?</v>
      </c>
      <c r="D22" s="15" t="e">
        <f t="shared" ca="1" si="4"/>
        <v>#NAME?</v>
      </c>
      <c r="E22" s="15" t="e">
        <f t="shared" ca="1" si="4"/>
        <v>#NAME?</v>
      </c>
      <c r="F22" s="15" t="e">
        <f t="shared" ca="1" si="4"/>
        <v>#NAME?</v>
      </c>
      <c r="G22" s="15" t="e">
        <f t="shared" ca="1" si="4"/>
        <v>#NAME?</v>
      </c>
      <c r="H22" s="15" t="e">
        <f t="shared" ca="1" si="4"/>
        <v>#NAME?</v>
      </c>
      <c r="I22" s="15" t="e">
        <f t="shared" ca="1" si="4"/>
        <v>#NAME?</v>
      </c>
      <c r="J22" s="15" t="e">
        <f t="shared" ca="1" si="4"/>
        <v>#NAME?</v>
      </c>
      <c r="K22" s="15" t="e">
        <f t="shared" ca="1" si="4"/>
        <v>#NAME?</v>
      </c>
      <c r="L22" s="15" t="e">
        <f t="shared" ca="1" si="4"/>
        <v>#NAME?</v>
      </c>
      <c r="M22" s="15" t="e">
        <f t="shared" ca="1" si="4"/>
        <v>#NAME?</v>
      </c>
      <c r="N22" s="15" t="e">
        <f t="shared" ca="1" si="4"/>
        <v>#NAME?</v>
      </c>
      <c r="O22" s="15" t="e">
        <f t="shared" ca="1" si="4"/>
        <v>#NAME?</v>
      </c>
      <c r="P22" s="15" t="e">
        <f t="shared" ca="1" si="4"/>
        <v>#NAME?</v>
      </c>
      <c r="Q22" s="15" t="e">
        <f t="shared" ca="1" si="4"/>
        <v>#NAME?</v>
      </c>
      <c r="R22" s="15" t="e">
        <f t="shared" ca="1" si="3"/>
        <v>#NAME?</v>
      </c>
      <c r="S22" s="15" t="e">
        <f t="shared" ca="1" si="3"/>
        <v>#NAME?</v>
      </c>
      <c r="T22" s="15" t="e">
        <f t="shared" ca="1" si="3"/>
        <v>#NAME?</v>
      </c>
      <c r="U22" s="15" t="e">
        <f t="shared" ca="1" si="3"/>
        <v>#NAME?</v>
      </c>
      <c r="V22" s="16" t="e">
        <f t="shared" ca="1" si="3"/>
        <v>#NAME?</v>
      </c>
    </row>
  </sheetData>
  <conditionalFormatting sqref="B2:V22">
    <cfRule type="colorScale" priority="1">
      <colorScale>
        <cfvo type="min"/>
        <cfvo type="max"/>
        <color theme="7" tint="0.79998168889431442"/>
        <color rgb="FFFF9999"/>
      </colorScale>
    </cfRule>
    <cfRule type="colorScale" priority="2">
      <colorScale>
        <cfvo type="min"/>
        <cfvo type="max"/>
        <color rgb="FFFF9966"/>
        <color rgb="FFFFEF9C"/>
      </colorScale>
    </cfRule>
    <cfRule type="colorScale" priority="3">
      <colorScale>
        <cfvo type="min"/>
        <cfvo type="max"/>
        <color rgb="FFFFFF00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02E83-A3C7-4F16-AE75-F266E287F64D}">
  <sheetPr codeName="Лист2"/>
  <dimension ref="A1:M88"/>
  <sheetViews>
    <sheetView tabSelected="1" zoomScale="94" zoomScaleNormal="94" workbookViewId="0">
      <selection activeCell="L4" sqref="L4"/>
    </sheetView>
  </sheetViews>
  <sheetFormatPr defaultRowHeight="14.4" x14ac:dyDescent="0.3"/>
  <cols>
    <col min="1" max="1" width="10.44140625" customWidth="1"/>
    <col min="2" max="2" width="10" customWidth="1"/>
    <col min="3" max="4" width="9.33203125" bestFit="1" customWidth="1"/>
    <col min="5" max="5" width="13.21875" bestFit="1" customWidth="1"/>
    <col min="6" max="6" width="12.33203125" bestFit="1" customWidth="1"/>
    <col min="7" max="7" width="20" bestFit="1" customWidth="1"/>
    <col min="10" max="10" width="23.21875" customWidth="1"/>
    <col min="11" max="11" width="9.33203125" bestFit="1" customWidth="1"/>
    <col min="12" max="12" width="10" bestFit="1" customWidth="1"/>
  </cols>
  <sheetData>
    <row r="1" spans="1:12" x14ac:dyDescent="0.3">
      <c r="A1" t="s">
        <v>1</v>
      </c>
      <c r="B1" t="s">
        <v>2</v>
      </c>
    </row>
    <row r="2" spans="1:12" x14ac:dyDescent="0.3">
      <c r="A2" t="s">
        <v>3</v>
      </c>
      <c r="B2" s="1" t="s">
        <v>4</v>
      </c>
      <c r="K2" s="3" t="s">
        <v>11</v>
      </c>
      <c r="L2" s="6">
        <v>1E-3</v>
      </c>
    </row>
    <row r="3" spans="1:12" x14ac:dyDescent="0.3">
      <c r="A3" s="28" t="s">
        <v>5</v>
      </c>
      <c r="B3" s="29" t="s">
        <v>6</v>
      </c>
      <c r="C3" s="29" t="s">
        <v>8</v>
      </c>
      <c r="D3" s="29" t="s">
        <v>7</v>
      </c>
      <c r="E3" s="29" t="s">
        <v>9</v>
      </c>
      <c r="F3" s="29" t="s">
        <v>10</v>
      </c>
      <c r="G3" s="30" t="s">
        <v>79</v>
      </c>
      <c r="H3" s="2"/>
      <c r="I3" s="2"/>
    </row>
    <row r="4" spans="1:12" x14ac:dyDescent="0.3">
      <c r="A4" s="31">
        <v>1</v>
      </c>
      <c r="B4" s="26">
        <v>0</v>
      </c>
      <c r="C4" s="26">
        <v>2</v>
      </c>
      <c r="D4" s="26">
        <f>(C4+B4)/2</f>
        <v>1</v>
      </c>
      <c r="E4" s="26">
        <f>B4^3-2*B4-2</f>
        <v>-2</v>
      </c>
      <c r="F4" s="26">
        <f>D4^3-2*D4-2</f>
        <v>-3</v>
      </c>
      <c r="G4" s="21" t="str">
        <f>IF((ABS(D4^3-2*D4-2))&lt;$L$2,"Выполняется","-")</f>
        <v>-</v>
      </c>
      <c r="H4" s="3"/>
      <c r="I4" s="3"/>
      <c r="K4" s="3" t="s">
        <v>12</v>
      </c>
      <c r="L4">
        <f>D33</f>
        <v>1.7692923527210951</v>
      </c>
    </row>
    <row r="5" spans="1:12" x14ac:dyDescent="0.3">
      <c r="A5" s="32">
        <v>2</v>
      </c>
      <c r="B5" s="26">
        <f>IF(F4*E4&gt;0,D4,B4)</f>
        <v>1</v>
      </c>
      <c r="C5" s="26">
        <f>IF(F4*E4&gt;0,C4,D4)</f>
        <v>2</v>
      </c>
      <c r="D5" s="26">
        <f>(C5+B5)/2</f>
        <v>1.5</v>
      </c>
      <c r="E5" s="26">
        <f t="shared" ref="E5:E43" si="0">B5^3-2*B5-2</f>
        <v>-3</v>
      </c>
      <c r="F5" s="26">
        <f t="shared" ref="F5:F43" si="1">D5^3-2*D5-2</f>
        <v>-1.625</v>
      </c>
      <c r="G5" s="21" t="str">
        <f t="shared" ref="G5:G43" si="2">IF((ABS(D5^3-2*D5-2))&lt;$L$2,"Выполняется","-")</f>
        <v>-</v>
      </c>
      <c r="H5" s="3"/>
      <c r="I5" s="3"/>
      <c r="J5" s="3"/>
    </row>
    <row r="6" spans="1:12" x14ac:dyDescent="0.3">
      <c r="A6" s="32">
        <v>3</v>
      </c>
      <c r="B6" s="26">
        <f t="shared" ref="B6:B43" si="3">IF(F5*E5&gt;0,D5,B5)</f>
        <v>1.5</v>
      </c>
      <c r="C6" s="26">
        <f t="shared" ref="C6:C43" si="4">IF(F5*E5&gt;0,C5,D5)</f>
        <v>2</v>
      </c>
      <c r="D6" s="26">
        <f t="shared" ref="D6:D43" si="5">(C6+B6)/2</f>
        <v>1.75</v>
      </c>
      <c r="E6" s="26">
        <f t="shared" si="0"/>
        <v>-1.625</v>
      </c>
      <c r="F6" s="26">
        <f t="shared" si="1"/>
        <v>-0.140625</v>
      </c>
      <c r="G6" s="21" t="str">
        <f t="shared" si="2"/>
        <v>-</v>
      </c>
      <c r="H6" s="3"/>
      <c r="I6" s="3"/>
      <c r="J6" s="3"/>
      <c r="K6" s="24" t="s">
        <v>7</v>
      </c>
      <c r="L6" s="25" t="s">
        <v>10</v>
      </c>
    </row>
    <row r="7" spans="1:12" x14ac:dyDescent="0.3">
      <c r="A7" s="32">
        <v>4</v>
      </c>
      <c r="B7" s="26">
        <f t="shared" si="3"/>
        <v>1.75</v>
      </c>
      <c r="C7" s="26">
        <f t="shared" si="4"/>
        <v>2</v>
      </c>
      <c r="D7" s="26">
        <f t="shared" si="5"/>
        <v>1.875</v>
      </c>
      <c r="E7" s="26">
        <f t="shared" si="0"/>
        <v>-0.140625</v>
      </c>
      <c r="F7" s="26">
        <f t="shared" si="1"/>
        <v>0.841796875</v>
      </c>
      <c r="G7" s="21" t="str">
        <f t="shared" si="2"/>
        <v>-</v>
      </c>
      <c r="H7" s="3"/>
      <c r="I7" s="3"/>
      <c r="J7" s="3"/>
      <c r="K7" s="20">
        <v>1.07</v>
      </c>
      <c r="L7" s="21">
        <f>K7^3-2*K7-2</f>
        <v>-2.9149570000000002</v>
      </c>
    </row>
    <row r="8" spans="1:12" x14ac:dyDescent="0.3">
      <c r="A8" s="32">
        <v>5</v>
      </c>
      <c r="B8" s="26">
        <f t="shared" si="3"/>
        <v>1.75</v>
      </c>
      <c r="C8" s="26">
        <f t="shared" si="4"/>
        <v>1.875</v>
      </c>
      <c r="D8" s="26">
        <f t="shared" si="5"/>
        <v>1.8125</v>
      </c>
      <c r="E8" s="26">
        <f t="shared" si="0"/>
        <v>-0.140625</v>
      </c>
      <c r="F8" s="26">
        <f t="shared" si="1"/>
        <v>0.329345703125</v>
      </c>
      <c r="G8" s="21" t="str">
        <f t="shared" si="2"/>
        <v>-</v>
      </c>
      <c r="H8" s="3"/>
      <c r="I8" s="3"/>
      <c r="J8" s="3"/>
      <c r="K8" s="20">
        <v>1.1399999999999999</v>
      </c>
      <c r="L8" s="21">
        <f t="shared" ref="L8:L22" si="6">K8^3-2*K8-2</f>
        <v>-2.7984559999999998</v>
      </c>
    </row>
    <row r="9" spans="1:12" x14ac:dyDescent="0.3">
      <c r="A9" s="32">
        <v>6</v>
      </c>
      <c r="B9" s="26">
        <f t="shared" si="3"/>
        <v>1.75</v>
      </c>
      <c r="C9" s="26">
        <f t="shared" si="4"/>
        <v>1.8125</v>
      </c>
      <c r="D9" s="26">
        <f t="shared" si="5"/>
        <v>1.78125</v>
      </c>
      <c r="E9" s="26">
        <f t="shared" si="0"/>
        <v>-0.140625</v>
      </c>
      <c r="F9" s="26">
        <f t="shared" si="1"/>
        <v>8.9141845703125E-2</v>
      </c>
      <c r="G9" s="21" t="str">
        <f t="shared" si="2"/>
        <v>-</v>
      </c>
      <c r="H9" s="3"/>
      <c r="I9" s="3"/>
      <c r="J9" s="3"/>
      <c r="K9" s="20">
        <v>1.21</v>
      </c>
      <c r="L9" s="21">
        <f t="shared" si="6"/>
        <v>-2.6484389999999998</v>
      </c>
    </row>
    <row r="10" spans="1:12" x14ac:dyDescent="0.3">
      <c r="A10" s="32">
        <v>7</v>
      </c>
      <c r="B10" s="26">
        <f t="shared" si="3"/>
        <v>1.75</v>
      </c>
      <c r="C10" s="26">
        <f t="shared" si="4"/>
        <v>1.78125</v>
      </c>
      <c r="D10" s="26">
        <f t="shared" si="5"/>
        <v>1.765625</v>
      </c>
      <c r="E10" s="26">
        <f t="shared" si="0"/>
        <v>-0.140625</v>
      </c>
      <c r="F10" s="26">
        <f t="shared" si="1"/>
        <v>-2.7034759521484375E-2</v>
      </c>
      <c r="G10" s="21" t="str">
        <f t="shared" si="2"/>
        <v>-</v>
      </c>
      <c r="H10" s="3"/>
      <c r="I10" s="3"/>
      <c r="J10" s="3"/>
      <c r="K10" s="20">
        <v>1.28</v>
      </c>
      <c r="L10" s="21">
        <f t="shared" si="6"/>
        <v>-2.4628479999999997</v>
      </c>
    </row>
    <row r="11" spans="1:12" x14ac:dyDescent="0.3">
      <c r="A11" s="32">
        <v>8</v>
      </c>
      <c r="B11" s="26">
        <f t="shared" si="3"/>
        <v>1.765625</v>
      </c>
      <c r="C11" s="26">
        <f t="shared" si="4"/>
        <v>1.78125</v>
      </c>
      <c r="D11" s="26">
        <f t="shared" si="5"/>
        <v>1.7734375</v>
      </c>
      <c r="E11" s="26">
        <f t="shared" si="0"/>
        <v>-2.7034759521484375E-2</v>
      </c>
      <c r="F11" s="26">
        <f t="shared" si="1"/>
        <v>3.0728816986083984E-2</v>
      </c>
      <c r="G11" s="21" t="str">
        <f t="shared" si="2"/>
        <v>-</v>
      </c>
      <c r="H11" s="3"/>
      <c r="I11" s="3"/>
      <c r="J11" s="3"/>
      <c r="K11" s="20">
        <v>1.35</v>
      </c>
      <c r="L11" s="21">
        <f t="shared" si="6"/>
        <v>-2.2396249999999998</v>
      </c>
    </row>
    <row r="12" spans="1:12" x14ac:dyDescent="0.3">
      <c r="A12" s="32">
        <v>9</v>
      </c>
      <c r="B12" s="26">
        <f t="shared" si="3"/>
        <v>1.765625</v>
      </c>
      <c r="C12" s="26">
        <f t="shared" si="4"/>
        <v>1.7734375</v>
      </c>
      <c r="D12" s="26">
        <f t="shared" si="5"/>
        <v>1.76953125</v>
      </c>
      <c r="E12" s="26">
        <f t="shared" si="0"/>
        <v>-2.7034759521484375E-2</v>
      </c>
      <c r="F12" s="26">
        <f t="shared" si="1"/>
        <v>1.7660260200500488E-3</v>
      </c>
      <c r="G12" s="21" t="str">
        <f t="shared" si="2"/>
        <v>-</v>
      </c>
      <c r="H12" s="3"/>
      <c r="I12" s="3"/>
      <c r="J12" s="3"/>
      <c r="K12" s="20">
        <v>1.42</v>
      </c>
      <c r="L12" s="21">
        <f t="shared" si="6"/>
        <v>-1.976712</v>
      </c>
    </row>
    <row r="13" spans="1:12" x14ac:dyDescent="0.3">
      <c r="A13" s="32">
        <v>10</v>
      </c>
      <c r="B13" s="26">
        <f t="shared" si="3"/>
        <v>1.765625</v>
      </c>
      <c r="C13" s="26">
        <f t="shared" si="4"/>
        <v>1.76953125</v>
      </c>
      <c r="D13" s="26">
        <f t="shared" si="5"/>
        <v>1.767578125</v>
      </c>
      <c r="E13" s="26">
        <f t="shared" si="0"/>
        <v>-2.7034759521484375E-2</v>
      </c>
      <c r="F13" s="26">
        <f t="shared" si="1"/>
        <v>-1.2654595077037811E-2</v>
      </c>
      <c r="G13" s="21" t="str">
        <f t="shared" si="2"/>
        <v>-</v>
      </c>
      <c r="H13" s="3"/>
      <c r="I13" s="3"/>
      <c r="J13" s="3"/>
      <c r="K13" s="20">
        <v>1.49</v>
      </c>
      <c r="L13" s="21">
        <f t="shared" si="6"/>
        <v>-1.6720510000000002</v>
      </c>
    </row>
    <row r="14" spans="1:12" x14ac:dyDescent="0.3">
      <c r="A14" s="32">
        <v>11</v>
      </c>
      <c r="B14" s="26">
        <f t="shared" si="3"/>
        <v>1.767578125</v>
      </c>
      <c r="C14" s="26">
        <f t="shared" si="4"/>
        <v>1.76953125</v>
      </c>
      <c r="D14" s="26">
        <f t="shared" si="5"/>
        <v>1.7685546875</v>
      </c>
      <c r="E14" s="26">
        <f t="shared" si="0"/>
        <v>-1.2654595077037811E-2</v>
      </c>
      <c r="F14" s="26">
        <f t="shared" si="1"/>
        <v>-5.4493444040417671E-3</v>
      </c>
      <c r="G14" s="21" t="str">
        <f t="shared" si="2"/>
        <v>-</v>
      </c>
      <c r="H14" s="3"/>
      <c r="I14" s="3"/>
      <c r="J14" s="3"/>
      <c r="K14" s="20">
        <v>1.56</v>
      </c>
      <c r="L14" s="21">
        <f t="shared" si="6"/>
        <v>-1.3235839999999999</v>
      </c>
    </row>
    <row r="15" spans="1:12" x14ac:dyDescent="0.3">
      <c r="A15" s="32">
        <v>12</v>
      </c>
      <c r="B15" s="26">
        <f t="shared" si="3"/>
        <v>1.7685546875</v>
      </c>
      <c r="C15" s="26">
        <f t="shared" si="4"/>
        <v>1.76953125</v>
      </c>
      <c r="D15" s="26">
        <f t="shared" si="5"/>
        <v>1.76904296875</v>
      </c>
      <c r="E15" s="26">
        <f t="shared" si="0"/>
        <v>-5.4493444040417671E-3</v>
      </c>
      <c r="F15" s="26">
        <f t="shared" si="1"/>
        <v>-1.8429245101287961E-3</v>
      </c>
      <c r="G15" s="21" t="str">
        <f t="shared" si="2"/>
        <v>-</v>
      </c>
      <c r="H15" s="3"/>
      <c r="I15" s="3"/>
      <c r="J15" s="3"/>
      <c r="K15" s="20">
        <v>1.63</v>
      </c>
      <c r="L15" s="21">
        <f t="shared" si="6"/>
        <v>-0.92925300000000011</v>
      </c>
    </row>
    <row r="16" spans="1:12" x14ac:dyDescent="0.3">
      <c r="A16" s="32">
        <v>13</v>
      </c>
      <c r="B16" s="26">
        <f t="shared" si="3"/>
        <v>1.76904296875</v>
      </c>
      <c r="C16" s="26">
        <f t="shared" si="4"/>
        <v>1.76953125</v>
      </c>
      <c r="D16" s="26">
        <f t="shared" si="5"/>
        <v>1.769287109375</v>
      </c>
      <c r="E16" s="26">
        <f t="shared" si="0"/>
        <v>-1.8429245101287961E-3</v>
      </c>
      <c r="F16" s="26">
        <f t="shared" si="1"/>
        <v>-3.876561822835356E-5</v>
      </c>
      <c r="G16" s="21" t="str">
        <f t="shared" si="2"/>
        <v>Выполняется</v>
      </c>
      <c r="H16" s="3"/>
      <c r="I16" s="3"/>
      <c r="J16" s="3"/>
      <c r="K16" s="20">
        <v>1.7</v>
      </c>
      <c r="L16" s="21">
        <f t="shared" si="6"/>
        <v>-0.48700000000000054</v>
      </c>
    </row>
    <row r="17" spans="1:12" x14ac:dyDescent="0.3">
      <c r="A17" s="32">
        <v>14</v>
      </c>
      <c r="B17" s="26">
        <f t="shared" si="3"/>
        <v>1.769287109375</v>
      </c>
      <c r="C17" s="26">
        <f t="shared" si="4"/>
        <v>1.76953125</v>
      </c>
      <c r="D17" s="26">
        <f t="shared" si="5"/>
        <v>1.7694091796875</v>
      </c>
      <c r="E17" s="26">
        <f t="shared" si="0"/>
        <v>-3.876561822835356E-5</v>
      </c>
      <c r="F17" s="26">
        <f t="shared" si="1"/>
        <v>8.6355110215663444E-4</v>
      </c>
      <c r="G17" s="21" t="str">
        <f t="shared" si="2"/>
        <v>Выполняется</v>
      </c>
      <c r="H17" s="3"/>
      <c r="I17" s="3"/>
      <c r="J17" s="3"/>
      <c r="K17" s="20">
        <v>1.77</v>
      </c>
      <c r="L17" s="21">
        <f t="shared" si="6"/>
        <v>5.2330000000004873E-3</v>
      </c>
    </row>
    <row r="18" spans="1:12" x14ac:dyDescent="0.3">
      <c r="A18" s="32">
        <v>15</v>
      </c>
      <c r="B18" s="26">
        <f t="shared" si="3"/>
        <v>1.769287109375</v>
      </c>
      <c r="C18" s="26">
        <f t="shared" si="4"/>
        <v>1.7694091796875</v>
      </c>
      <c r="D18" s="26">
        <f t="shared" si="5"/>
        <v>1.76934814453125</v>
      </c>
      <c r="E18" s="26">
        <f t="shared" si="0"/>
        <v>-3.876561822835356E-5</v>
      </c>
      <c r="F18" s="26">
        <f t="shared" si="1"/>
        <v>4.1237296795770817E-4</v>
      </c>
      <c r="G18" s="21" t="str">
        <f t="shared" si="2"/>
        <v>Выполняется</v>
      </c>
      <c r="H18" s="3"/>
      <c r="I18" s="3"/>
      <c r="J18" s="3"/>
      <c r="K18" s="20">
        <v>1.84</v>
      </c>
      <c r="L18" s="21">
        <f t="shared" si="6"/>
        <v>0.54950400000000021</v>
      </c>
    </row>
    <row r="19" spans="1:12" x14ac:dyDescent="0.3">
      <c r="A19" s="32">
        <v>16</v>
      </c>
      <c r="B19" s="26">
        <f t="shared" si="3"/>
        <v>1.769287109375</v>
      </c>
      <c r="C19" s="26">
        <f t="shared" si="4"/>
        <v>1.76934814453125</v>
      </c>
      <c r="D19" s="26">
        <f t="shared" si="5"/>
        <v>1.769317626953125</v>
      </c>
      <c r="E19" s="26">
        <f t="shared" si="0"/>
        <v>-3.876561822835356E-5</v>
      </c>
      <c r="F19" s="26">
        <f t="shared" si="1"/>
        <v>1.8679873144833437E-4</v>
      </c>
      <c r="G19" s="21" t="str">
        <f t="shared" si="2"/>
        <v>Выполняется</v>
      </c>
      <c r="H19" s="3"/>
      <c r="I19" s="3"/>
      <c r="J19" s="3"/>
      <c r="K19" s="20">
        <v>1.91</v>
      </c>
      <c r="L19" s="21">
        <f t="shared" si="6"/>
        <v>1.1478709999999999</v>
      </c>
    </row>
    <row r="20" spans="1:12" x14ac:dyDescent="0.3">
      <c r="A20" s="32">
        <v>17</v>
      </c>
      <c r="B20" s="26">
        <f t="shared" si="3"/>
        <v>1.769287109375</v>
      </c>
      <c r="C20" s="26">
        <f t="shared" si="4"/>
        <v>1.769317626953125</v>
      </c>
      <c r="D20" s="26">
        <f t="shared" si="5"/>
        <v>1.7693023681640625</v>
      </c>
      <c r="E20" s="26">
        <f t="shared" si="0"/>
        <v>-3.876561822835356E-5</v>
      </c>
      <c r="F20" s="26">
        <f t="shared" si="1"/>
        <v>7.4015320766562809E-5</v>
      </c>
      <c r="G20" s="21" t="str">
        <f t="shared" si="2"/>
        <v>Выполняется</v>
      </c>
      <c r="H20" s="3"/>
      <c r="I20" s="3"/>
      <c r="J20" s="3"/>
      <c r="K20" s="20">
        <v>1.98</v>
      </c>
      <c r="L20" s="21">
        <f t="shared" si="6"/>
        <v>1.8023919999999993</v>
      </c>
    </row>
    <row r="21" spans="1:12" x14ac:dyDescent="0.3">
      <c r="A21" s="32">
        <v>18</v>
      </c>
      <c r="B21" s="26">
        <f t="shared" si="3"/>
        <v>1.769287109375</v>
      </c>
      <c r="C21" s="26">
        <f t="shared" si="4"/>
        <v>1.7693023681640625</v>
      </c>
      <c r="D21" s="26">
        <f t="shared" si="5"/>
        <v>1.7692947387695313</v>
      </c>
      <c r="E21" s="26">
        <f t="shared" si="0"/>
        <v>-3.876561822835356E-5</v>
      </c>
      <c r="F21" s="26">
        <f t="shared" si="1"/>
        <v>1.7624542309135904E-5</v>
      </c>
      <c r="G21" s="21" t="str">
        <f t="shared" si="2"/>
        <v>Выполняется</v>
      </c>
      <c r="H21" s="3"/>
      <c r="I21" s="3"/>
      <c r="J21" s="3"/>
      <c r="K21" s="20">
        <v>2.0499999999999998</v>
      </c>
      <c r="L21" s="21">
        <f t="shared" si="6"/>
        <v>2.5151249999999994</v>
      </c>
    </row>
    <row r="22" spans="1:12" x14ac:dyDescent="0.3">
      <c r="A22" s="32">
        <v>19</v>
      </c>
      <c r="B22" s="26">
        <f t="shared" si="3"/>
        <v>1.769287109375</v>
      </c>
      <c r="C22" s="26">
        <f t="shared" si="4"/>
        <v>1.7692947387695313</v>
      </c>
      <c r="D22" s="26">
        <f t="shared" si="5"/>
        <v>1.7692909240722656</v>
      </c>
      <c r="E22" s="26">
        <f t="shared" si="0"/>
        <v>-3.876561822835356E-5</v>
      </c>
      <c r="F22" s="26">
        <f t="shared" si="1"/>
        <v>-1.0570615199156919E-5</v>
      </c>
      <c r="G22" s="21" t="str">
        <f t="shared" si="2"/>
        <v>Выполняется</v>
      </c>
      <c r="H22" s="3"/>
      <c r="I22" s="3"/>
      <c r="J22" s="3"/>
      <c r="K22" s="22">
        <v>2.12</v>
      </c>
      <c r="L22" s="23">
        <f t="shared" si="6"/>
        <v>3.2881280000000022</v>
      </c>
    </row>
    <row r="23" spans="1:12" x14ac:dyDescent="0.3">
      <c r="A23" s="32">
        <v>20</v>
      </c>
      <c r="B23" s="26">
        <f t="shared" si="3"/>
        <v>1.7692909240722656</v>
      </c>
      <c r="C23" s="26">
        <f t="shared" si="4"/>
        <v>1.7692947387695313</v>
      </c>
      <c r="D23" s="26">
        <f t="shared" si="5"/>
        <v>1.7692928314208984</v>
      </c>
      <c r="E23" s="26">
        <f t="shared" si="0"/>
        <v>-1.0570615199156919E-5</v>
      </c>
      <c r="F23" s="26">
        <f t="shared" si="1"/>
        <v>3.5269442451024702E-6</v>
      </c>
      <c r="G23" s="21" t="str">
        <f t="shared" si="2"/>
        <v>Выполняется</v>
      </c>
      <c r="H23" s="3"/>
      <c r="I23" s="3"/>
      <c r="J23" s="3"/>
    </row>
    <row r="24" spans="1:12" x14ac:dyDescent="0.3">
      <c r="A24" s="32">
        <v>21</v>
      </c>
      <c r="B24" s="26">
        <f t="shared" si="3"/>
        <v>1.7692909240722656</v>
      </c>
      <c r="C24" s="26">
        <f t="shared" si="4"/>
        <v>1.7692928314208984</v>
      </c>
      <c r="D24" s="26">
        <f t="shared" si="5"/>
        <v>1.769291877746582</v>
      </c>
      <c r="E24" s="26">
        <f t="shared" si="0"/>
        <v>-1.0570615199156919E-5</v>
      </c>
      <c r="F24" s="26">
        <f t="shared" si="1"/>
        <v>-3.5218403047210245E-6</v>
      </c>
      <c r="G24" s="21" t="str">
        <f t="shared" si="2"/>
        <v>Выполняется</v>
      </c>
      <c r="H24" s="3"/>
      <c r="I24" s="3"/>
      <c r="J24" s="3"/>
    </row>
    <row r="25" spans="1:12" x14ac:dyDescent="0.3">
      <c r="A25" s="32">
        <v>22</v>
      </c>
      <c r="B25" s="26">
        <f t="shared" si="3"/>
        <v>1.769291877746582</v>
      </c>
      <c r="C25" s="26">
        <f t="shared" si="4"/>
        <v>1.7692928314208984</v>
      </c>
      <c r="D25" s="26">
        <f t="shared" si="5"/>
        <v>1.7692923545837402</v>
      </c>
      <c r="E25" s="26">
        <f t="shared" si="0"/>
        <v>-3.5218403047210245E-6</v>
      </c>
      <c r="F25" s="26">
        <f t="shared" si="1"/>
        <v>2.5507631562504685E-9</v>
      </c>
      <c r="G25" s="21" t="str">
        <f t="shared" si="2"/>
        <v>Выполняется</v>
      </c>
      <c r="H25" s="3"/>
      <c r="I25" s="3"/>
      <c r="J25" s="3"/>
    </row>
    <row r="26" spans="1:12" x14ac:dyDescent="0.3">
      <c r="A26" s="32">
        <v>23</v>
      </c>
      <c r="B26" s="26">
        <f t="shared" si="3"/>
        <v>1.769291877746582</v>
      </c>
      <c r="C26" s="26">
        <f t="shared" si="4"/>
        <v>1.7692923545837402</v>
      </c>
      <c r="D26" s="26">
        <f t="shared" si="5"/>
        <v>1.7692921161651611</v>
      </c>
      <c r="E26" s="26">
        <f t="shared" si="0"/>
        <v>-3.5218403047210245E-6</v>
      </c>
      <c r="F26" s="26">
        <f t="shared" si="1"/>
        <v>-1.7596450723189605E-6</v>
      </c>
      <c r="G26" s="21" t="str">
        <f t="shared" si="2"/>
        <v>Выполняется</v>
      </c>
      <c r="H26" s="3"/>
      <c r="I26" s="3"/>
      <c r="J26" s="3"/>
    </row>
    <row r="27" spans="1:12" x14ac:dyDescent="0.3">
      <c r="A27" s="32">
        <v>24</v>
      </c>
      <c r="B27" s="26">
        <f t="shared" si="3"/>
        <v>1.7692921161651611</v>
      </c>
      <c r="C27" s="26">
        <f t="shared" si="4"/>
        <v>1.7692923545837402</v>
      </c>
      <c r="D27" s="26">
        <f t="shared" si="5"/>
        <v>1.7692922353744507</v>
      </c>
      <c r="E27" s="26">
        <f t="shared" si="0"/>
        <v>-1.7596450723189605E-6</v>
      </c>
      <c r="F27" s="26">
        <f t="shared" si="1"/>
        <v>-8.7854722963243148E-7</v>
      </c>
      <c r="G27" s="21" t="str">
        <f t="shared" si="2"/>
        <v>Выполняется</v>
      </c>
      <c r="H27" s="3"/>
      <c r="I27" s="3"/>
      <c r="J27" s="3"/>
    </row>
    <row r="28" spans="1:12" x14ac:dyDescent="0.3">
      <c r="A28" s="32">
        <v>25</v>
      </c>
      <c r="B28" s="26">
        <f t="shared" si="3"/>
        <v>1.7692922353744507</v>
      </c>
      <c r="C28" s="26">
        <f t="shared" si="4"/>
        <v>1.7692923545837402</v>
      </c>
      <c r="D28" s="26">
        <f t="shared" si="5"/>
        <v>1.7692922949790955</v>
      </c>
      <c r="E28" s="26">
        <f t="shared" si="0"/>
        <v>-8.7854722963243148E-7</v>
      </c>
      <c r="F28" s="26">
        <f t="shared" si="1"/>
        <v>-4.3799825188983732E-7</v>
      </c>
      <c r="G28" s="21" t="str">
        <f t="shared" si="2"/>
        <v>Выполняется</v>
      </c>
      <c r="H28" s="3"/>
      <c r="I28" s="3"/>
      <c r="J28" s="3"/>
    </row>
    <row r="29" spans="1:12" x14ac:dyDescent="0.3">
      <c r="A29" s="32">
        <v>26</v>
      </c>
      <c r="B29" s="26">
        <f t="shared" si="3"/>
        <v>1.7692922949790955</v>
      </c>
      <c r="C29" s="26">
        <f t="shared" si="4"/>
        <v>1.7692923545837402</v>
      </c>
      <c r="D29" s="26">
        <f t="shared" si="5"/>
        <v>1.7692923247814178</v>
      </c>
      <c r="E29" s="26">
        <f t="shared" si="0"/>
        <v>-4.3799825188983732E-7</v>
      </c>
      <c r="F29" s="26">
        <f t="shared" si="1"/>
        <v>-2.1772374925177473E-7</v>
      </c>
      <c r="G29" s="21" t="str">
        <f t="shared" si="2"/>
        <v>Выполняется</v>
      </c>
      <c r="H29" s="3"/>
      <c r="I29" s="3"/>
      <c r="J29" s="3"/>
    </row>
    <row r="30" spans="1:12" x14ac:dyDescent="0.3">
      <c r="A30" s="32">
        <v>27</v>
      </c>
      <c r="B30" s="26">
        <f t="shared" si="3"/>
        <v>1.7692923247814178</v>
      </c>
      <c r="C30" s="26">
        <f t="shared" si="4"/>
        <v>1.7692923545837402</v>
      </c>
      <c r="D30" s="26">
        <f t="shared" si="5"/>
        <v>1.769292339682579</v>
      </c>
      <c r="E30" s="26">
        <f t="shared" si="0"/>
        <v>-2.1772374925177473E-7</v>
      </c>
      <c r="F30" s="26">
        <f t="shared" si="1"/>
        <v>-1.0758649438002976E-7</v>
      </c>
      <c r="G30" s="21" t="str">
        <f t="shared" si="2"/>
        <v>Выполняется</v>
      </c>
      <c r="H30" s="3"/>
      <c r="I30" s="3"/>
      <c r="J30" s="3"/>
    </row>
    <row r="31" spans="1:12" x14ac:dyDescent="0.3">
      <c r="A31" s="32">
        <v>28</v>
      </c>
      <c r="B31" s="26">
        <f t="shared" si="3"/>
        <v>1.769292339682579</v>
      </c>
      <c r="C31" s="26">
        <f t="shared" si="4"/>
        <v>1.7692923545837402</v>
      </c>
      <c r="D31" s="26">
        <f t="shared" si="5"/>
        <v>1.7692923471331596</v>
      </c>
      <c r="E31" s="26">
        <f t="shared" si="0"/>
        <v>-1.0758649438002976E-7</v>
      </c>
      <c r="F31" s="26">
        <f t="shared" si="1"/>
        <v>-5.2517865611889647E-8</v>
      </c>
      <c r="G31" s="21" t="str">
        <f t="shared" si="2"/>
        <v>Выполняется</v>
      </c>
      <c r="H31" s="3"/>
      <c r="I31" s="3"/>
      <c r="J31" s="3"/>
    </row>
    <row r="32" spans="1:12" x14ac:dyDescent="0.3">
      <c r="A32" s="32">
        <v>29</v>
      </c>
      <c r="B32" s="26">
        <f t="shared" si="3"/>
        <v>1.7692923471331596</v>
      </c>
      <c r="C32" s="26">
        <f t="shared" si="4"/>
        <v>1.7692923545837402</v>
      </c>
      <c r="D32" s="26">
        <f t="shared" si="5"/>
        <v>1.7692923508584499</v>
      </c>
      <c r="E32" s="26">
        <f t="shared" si="0"/>
        <v>-5.2517865611889647E-8</v>
      </c>
      <c r="F32" s="26">
        <f t="shared" si="1"/>
        <v>-2.4983551227819589E-8</v>
      </c>
      <c r="G32" s="21" t="str">
        <f t="shared" si="2"/>
        <v>Выполняется</v>
      </c>
      <c r="H32" s="3"/>
      <c r="I32" s="3"/>
      <c r="J32" s="3"/>
    </row>
    <row r="33" spans="1:13" x14ac:dyDescent="0.3">
      <c r="A33" s="32">
        <v>30</v>
      </c>
      <c r="B33" s="26">
        <f t="shared" si="3"/>
        <v>1.7692923508584499</v>
      </c>
      <c r="C33" s="26">
        <f t="shared" si="4"/>
        <v>1.7692923545837402</v>
      </c>
      <c r="D33" s="26">
        <f t="shared" si="5"/>
        <v>1.7692923527210951</v>
      </c>
      <c r="E33" s="26">
        <f t="shared" si="0"/>
        <v>-2.4983551227819589E-8</v>
      </c>
      <c r="F33" s="26">
        <f t="shared" si="1"/>
        <v>-1.121639403578456E-8</v>
      </c>
      <c r="G33" s="21" t="str">
        <f t="shared" si="2"/>
        <v>Выполняется</v>
      </c>
      <c r="H33" s="3"/>
      <c r="I33" s="3"/>
      <c r="J33" s="3"/>
    </row>
    <row r="34" spans="1:13" x14ac:dyDescent="0.3">
      <c r="A34" s="32">
        <v>31</v>
      </c>
      <c r="B34" s="26">
        <f t="shared" si="3"/>
        <v>1.7692923527210951</v>
      </c>
      <c r="C34" s="26">
        <f t="shared" si="4"/>
        <v>1.7692923545837402</v>
      </c>
      <c r="D34" s="26">
        <f t="shared" si="5"/>
        <v>1.7692923536524177</v>
      </c>
      <c r="E34" s="26">
        <f t="shared" si="0"/>
        <v>-1.121639403578456E-8</v>
      </c>
      <c r="F34" s="26">
        <f t="shared" si="1"/>
        <v>-4.3328149956778361E-9</v>
      </c>
      <c r="G34" s="21" t="str">
        <f t="shared" si="2"/>
        <v>Выполняется</v>
      </c>
      <c r="H34" s="3"/>
      <c r="I34" s="3"/>
      <c r="J34" s="3"/>
    </row>
    <row r="35" spans="1:13" x14ac:dyDescent="0.3">
      <c r="A35" s="32">
        <v>32</v>
      </c>
      <c r="B35" s="26">
        <f t="shared" si="3"/>
        <v>1.7692923536524177</v>
      </c>
      <c r="C35" s="26">
        <f t="shared" si="4"/>
        <v>1.7692923545837402</v>
      </c>
      <c r="D35" s="26">
        <f t="shared" si="5"/>
        <v>1.7692923541180789</v>
      </c>
      <c r="E35" s="26">
        <f t="shared" si="0"/>
        <v>-4.3328149956778361E-9</v>
      </c>
      <c r="F35" s="26">
        <f t="shared" si="1"/>
        <v>-8.9102591971368383E-10</v>
      </c>
      <c r="G35" s="21" t="str">
        <f t="shared" si="2"/>
        <v>Выполняется</v>
      </c>
      <c r="H35" s="3"/>
      <c r="I35" s="3"/>
      <c r="J35" s="3"/>
    </row>
    <row r="36" spans="1:13" x14ac:dyDescent="0.3">
      <c r="A36" s="32">
        <v>33</v>
      </c>
      <c r="B36" s="26">
        <f t="shared" si="3"/>
        <v>1.7692923541180789</v>
      </c>
      <c r="C36" s="26">
        <f t="shared" si="4"/>
        <v>1.7692923545837402</v>
      </c>
      <c r="D36" s="26">
        <f t="shared" si="5"/>
        <v>1.7692923543509096</v>
      </c>
      <c r="E36" s="26">
        <f t="shared" si="0"/>
        <v>-8.9102591971368383E-10</v>
      </c>
      <c r="F36" s="26">
        <f t="shared" si="1"/>
        <v>8.2986861826839231E-10</v>
      </c>
      <c r="G36" s="21" t="str">
        <f t="shared" si="2"/>
        <v>Выполняется</v>
      </c>
      <c r="H36" s="3"/>
      <c r="I36" s="3"/>
      <c r="J36" s="3"/>
    </row>
    <row r="37" spans="1:13" x14ac:dyDescent="0.3">
      <c r="A37" s="32">
        <v>34</v>
      </c>
      <c r="B37" s="26">
        <f t="shared" si="3"/>
        <v>1.7692923541180789</v>
      </c>
      <c r="C37" s="26">
        <f t="shared" si="4"/>
        <v>1.7692923543509096</v>
      </c>
      <c r="D37" s="26">
        <f t="shared" si="5"/>
        <v>1.7692923542344943</v>
      </c>
      <c r="E37" s="26">
        <f t="shared" si="0"/>
        <v>-8.9102591971368383E-10</v>
      </c>
      <c r="F37" s="26">
        <f t="shared" si="1"/>
        <v>-3.0578206633435911E-11</v>
      </c>
      <c r="G37" s="21" t="str">
        <f t="shared" si="2"/>
        <v>Выполняется</v>
      </c>
      <c r="H37" s="3"/>
      <c r="I37" s="3"/>
      <c r="J37" s="3"/>
    </row>
    <row r="38" spans="1:13" x14ac:dyDescent="0.3">
      <c r="A38" s="32">
        <v>35</v>
      </c>
      <c r="B38" s="26">
        <f t="shared" si="3"/>
        <v>1.7692923542344943</v>
      </c>
      <c r="C38" s="26">
        <f t="shared" si="4"/>
        <v>1.7692923543509096</v>
      </c>
      <c r="D38" s="26">
        <f t="shared" si="5"/>
        <v>1.7692923542927019</v>
      </c>
      <c r="E38" s="26">
        <f t="shared" si="0"/>
        <v>-3.0578206633435911E-11</v>
      </c>
      <c r="F38" s="26">
        <f t="shared" si="1"/>
        <v>3.9964476172826835E-10</v>
      </c>
      <c r="G38" s="21" t="str">
        <f t="shared" si="2"/>
        <v>Выполняется</v>
      </c>
      <c r="H38" s="3"/>
      <c r="I38" s="3"/>
      <c r="J38" s="3"/>
    </row>
    <row r="39" spans="1:13" x14ac:dyDescent="0.3">
      <c r="A39" s="32">
        <v>36</v>
      </c>
      <c r="B39" s="26">
        <f t="shared" si="3"/>
        <v>1.7692923542344943</v>
      </c>
      <c r="C39" s="26">
        <f t="shared" si="4"/>
        <v>1.7692923542927019</v>
      </c>
      <c r="D39" s="26">
        <f t="shared" si="5"/>
        <v>1.7692923542635981</v>
      </c>
      <c r="E39" s="26">
        <f t="shared" si="0"/>
        <v>-3.0578206633435911E-11</v>
      </c>
      <c r="F39" s="26">
        <f t="shared" si="1"/>
        <v>1.8453327754741622E-10</v>
      </c>
      <c r="G39" s="21" t="str">
        <f t="shared" si="2"/>
        <v>Выполняется</v>
      </c>
      <c r="H39" s="3"/>
      <c r="I39" s="3"/>
      <c r="J39" s="3"/>
    </row>
    <row r="40" spans="1:13" x14ac:dyDescent="0.3">
      <c r="A40" s="32">
        <v>37</v>
      </c>
      <c r="B40" s="26">
        <f t="shared" si="3"/>
        <v>1.7692923542344943</v>
      </c>
      <c r="C40" s="26">
        <f t="shared" si="4"/>
        <v>1.7692923542635981</v>
      </c>
      <c r="D40" s="26">
        <f t="shared" si="5"/>
        <v>1.7692923542490462</v>
      </c>
      <c r="E40" s="26">
        <f t="shared" si="0"/>
        <v>-3.0578206633435911E-11</v>
      </c>
      <c r="F40" s="26">
        <f t="shared" si="1"/>
        <v>7.6977535456990154E-11</v>
      </c>
      <c r="G40" s="21" t="str">
        <f t="shared" si="2"/>
        <v>Выполняется</v>
      </c>
      <c r="H40" s="3"/>
      <c r="I40" s="3"/>
      <c r="J40" s="3"/>
    </row>
    <row r="41" spans="1:13" x14ac:dyDescent="0.3">
      <c r="A41" s="32">
        <v>38</v>
      </c>
      <c r="B41" s="26">
        <f t="shared" si="3"/>
        <v>1.7692923542344943</v>
      </c>
      <c r="C41" s="26">
        <f t="shared" si="4"/>
        <v>1.7692923542490462</v>
      </c>
      <c r="D41" s="26">
        <f t="shared" si="5"/>
        <v>1.7692923542417702</v>
      </c>
      <c r="E41" s="26">
        <f t="shared" si="0"/>
        <v>-3.0578206633435911E-11</v>
      </c>
      <c r="F41" s="26">
        <f t="shared" si="1"/>
        <v>2.3199220322567271E-11</v>
      </c>
      <c r="G41" s="21" t="str">
        <f t="shared" si="2"/>
        <v>Выполняется</v>
      </c>
      <c r="H41" s="3"/>
      <c r="I41" s="3"/>
      <c r="J41" s="3"/>
    </row>
    <row r="42" spans="1:13" x14ac:dyDescent="0.3">
      <c r="A42" s="32">
        <v>39</v>
      </c>
      <c r="B42" s="26">
        <f t="shared" si="3"/>
        <v>1.7692923542344943</v>
      </c>
      <c r="C42" s="26">
        <f t="shared" si="4"/>
        <v>1.7692923542417702</v>
      </c>
      <c r="D42" s="26">
        <f t="shared" si="5"/>
        <v>1.7692923542381322</v>
      </c>
      <c r="E42" s="26">
        <f t="shared" si="0"/>
        <v>-3.0578206633435911E-11</v>
      </c>
      <c r="F42" s="26">
        <f t="shared" si="1"/>
        <v>-3.6894931554343202E-12</v>
      </c>
      <c r="G42" s="21" t="str">
        <f t="shared" si="2"/>
        <v>Выполняется</v>
      </c>
      <c r="H42" s="3"/>
      <c r="I42" s="3"/>
      <c r="J42" s="3"/>
    </row>
    <row r="43" spans="1:13" x14ac:dyDescent="0.3">
      <c r="A43" s="33">
        <v>40</v>
      </c>
      <c r="B43" s="27">
        <f t="shared" si="3"/>
        <v>1.7692923542381322</v>
      </c>
      <c r="C43" s="27">
        <f t="shared" si="4"/>
        <v>1.7692923542417702</v>
      </c>
      <c r="D43" s="27">
        <f t="shared" si="5"/>
        <v>1.7692923542399512</v>
      </c>
      <c r="E43" s="27">
        <f t="shared" si="0"/>
        <v>-3.6894931554343202E-12</v>
      </c>
      <c r="F43" s="27">
        <f t="shared" si="1"/>
        <v>9.7548635835664754E-12</v>
      </c>
      <c r="G43" s="23" t="str">
        <f t="shared" si="2"/>
        <v>Выполняется</v>
      </c>
      <c r="H43" s="3"/>
      <c r="I43" s="3"/>
      <c r="J43" s="3"/>
    </row>
    <row r="48" spans="1:13" x14ac:dyDescent="0.3">
      <c r="G48" s="2"/>
      <c r="H48" s="2"/>
      <c r="I48" s="2"/>
      <c r="J48" s="2"/>
      <c r="K48" s="2"/>
      <c r="L48" s="2"/>
      <c r="M48" s="2"/>
    </row>
    <row r="49" spans="7:13" x14ac:dyDescent="0.3">
      <c r="G49" s="2"/>
      <c r="H49" s="3"/>
      <c r="I49" s="3"/>
      <c r="J49" s="3"/>
      <c r="K49" s="3"/>
      <c r="L49" s="3"/>
      <c r="M49" s="3"/>
    </row>
    <row r="50" spans="7:13" x14ac:dyDescent="0.3">
      <c r="G50" s="2"/>
      <c r="H50" s="3"/>
      <c r="I50" s="3"/>
      <c r="J50" s="3"/>
      <c r="K50" s="3"/>
      <c r="L50" s="3"/>
      <c r="M50" s="3"/>
    </row>
    <row r="51" spans="7:13" x14ac:dyDescent="0.3">
      <c r="G51" s="2"/>
      <c r="H51" s="3"/>
      <c r="I51" s="3"/>
      <c r="J51" s="3"/>
      <c r="K51" s="3"/>
      <c r="L51" s="3"/>
      <c r="M51" s="3"/>
    </row>
    <row r="52" spans="7:13" x14ac:dyDescent="0.3">
      <c r="G52" s="2"/>
      <c r="H52" s="3"/>
      <c r="I52" s="3"/>
      <c r="J52" s="3"/>
      <c r="K52" s="3"/>
      <c r="L52" s="3"/>
      <c r="M52" s="3"/>
    </row>
    <row r="53" spans="7:13" x14ac:dyDescent="0.3">
      <c r="G53" s="2"/>
      <c r="H53" s="3"/>
      <c r="I53" s="3"/>
      <c r="J53" s="3"/>
      <c r="K53" s="3"/>
      <c r="L53" s="3"/>
      <c r="M53" s="3"/>
    </row>
    <row r="54" spans="7:13" x14ac:dyDescent="0.3">
      <c r="G54" s="2"/>
      <c r="H54" s="3"/>
      <c r="I54" s="3"/>
      <c r="J54" s="3"/>
      <c r="K54" s="3"/>
      <c r="L54" s="3"/>
      <c r="M54" s="3"/>
    </row>
    <row r="55" spans="7:13" x14ac:dyDescent="0.3">
      <c r="G55" s="2"/>
      <c r="H55" s="3"/>
      <c r="I55" s="3"/>
      <c r="J55" s="3"/>
      <c r="K55" s="3"/>
      <c r="L55" s="3"/>
      <c r="M55" s="3"/>
    </row>
    <row r="56" spans="7:13" x14ac:dyDescent="0.3">
      <c r="G56" s="2"/>
      <c r="H56" s="3"/>
      <c r="I56" s="3"/>
      <c r="J56" s="3"/>
      <c r="K56" s="3"/>
      <c r="L56" s="3"/>
      <c r="M56" s="3"/>
    </row>
    <row r="57" spans="7:13" x14ac:dyDescent="0.3">
      <c r="G57" s="2"/>
      <c r="H57" s="3"/>
      <c r="I57" s="3"/>
      <c r="J57" s="3"/>
      <c r="K57" s="3"/>
      <c r="L57" s="3"/>
      <c r="M57" s="3"/>
    </row>
    <row r="58" spans="7:13" x14ac:dyDescent="0.3">
      <c r="G58" s="2"/>
      <c r="H58" s="3"/>
      <c r="I58" s="3"/>
      <c r="J58" s="3"/>
      <c r="K58" s="3"/>
      <c r="L58" s="3"/>
      <c r="M58" s="3"/>
    </row>
    <row r="59" spans="7:13" x14ac:dyDescent="0.3">
      <c r="G59" s="2"/>
      <c r="H59" s="3"/>
      <c r="I59" s="3"/>
      <c r="J59" s="3"/>
      <c r="K59" s="3"/>
      <c r="L59" s="3"/>
      <c r="M59" s="3"/>
    </row>
    <row r="60" spans="7:13" x14ac:dyDescent="0.3">
      <c r="G60" s="2"/>
      <c r="H60" s="3"/>
      <c r="I60" s="3"/>
      <c r="J60" s="3"/>
      <c r="K60" s="3"/>
      <c r="L60" s="3"/>
      <c r="M60" s="3"/>
    </row>
    <row r="61" spans="7:13" x14ac:dyDescent="0.3">
      <c r="G61" s="2"/>
      <c r="H61" s="3"/>
      <c r="I61" s="3"/>
      <c r="J61" s="3"/>
      <c r="K61" s="3"/>
      <c r="L61" s="3"/>
      <c r="M61" s="3"/>
    </row>
    <row r="62" spans="7:13" x14ac:dyDescent="0.3">
      <c r="G62" s="2"/>
      <c r="H62" s="3"/>
      <c r="I62" s="3"/>
      <c r="J62" s="3"/>
      <c r="K62" s="3"/>
      <c r="L62" s="3"/>
      <c r="M62" s="3"/>
    </row>
    <row r="63" spans="7:13" x14ac:dyDescent="0.3">
      <c r="G63" s="2"/>
      <c r="H63" s="3"/>
      <c r="I63" s="3"/>
      <c r="J63" s="3"/>
      <c r="K63" s="3"/>
      <c r="L63" s="3"/>
      <c r="M63" s="3"/>
    </row>
    <row r="64" spans="7:13" x14ac:dyDescent="0.3">
      <c r="G64" s="2"/>
      <c r="H64" s="3"/>
      <c r="I64" s="3"/>
      <c r="J64" s="3"/>
      <c r="K64" s="3"/>
      <c r="L64" s="3"/>
      <c r="M64" s="3"/>
    </row>
    <row r="65" spans="7:13" x14ac:dyDescent="0.3">
      <c r="G65" s="2"/>
      <c r="H65" s="3"/>
      <c r="I65" s="3"/>
      <c r="J65" s="3"/>
      <c r="K65" s="3"/>
      <c r="L65" s="3"/>
      <c r="M65" s="3"/>
    </row>
    <row r="66" spans="7:13" x14ac:dyDescent="0.3">
      <c r="G66" s="2"/>
      <c r="H66" s="3"/>
      <c r="I66" s="3"/>
      <c r="J66" s="3"/>
      <c r="K66" s="3"/>
      <c r="L66" s="3"/>
      <c r="M66" s="3"/>
    </row>
    <row r="67" spans="7:13" x14ac:dyDescent="0.3">
      <c r="G67" s="2"/>
      <c r="H67" s="3"/>
      <c r="I67" s="3"/>
      <c r="J67" s="3"/>
      <c r="K67" s="3"/>
      <c r="L67" s="3"/>
      <c r="M67" s="3"/>
    </row>
    <row r="68" spans="7:13" x14ac:dyDescent="0.3">
      <c r="G68" s="2"/>
      <c r="H68" s="3"/>
      <c r="I68" s="3"/>
      <c r="J68" s="3"/>
      <c r="K68" s="3"/>
      <c r="L68" s="3"/>
      <c r="M68" s="3"/>
    </row>
    <row r="69" spans="7:13" x14ac:dyDescent="0.3">
      <c r="G69" s="2"/>
      <c r="H69" s="3"/>
      <c r="I69" s="3"/>
      <c r="J69" s="3"/>
      <c r="K69" s="3"/>
      <c r="L69" s="3"/>
      <c r="M69" s="3"/>
    </row>
    <row r="70" spans="7:13" x14ac:dyDescent="0.3">
      <c r="G70" s="2"/>
      <c r="H70" s="3"/>
      <c r="I70" s="3"/>
      <c r="J70" s="3"/>
      <c r="K70" s="3"/>
      <c r="L70" s="3"/>
      <c r="M70" s="3"/>
    </row>
    <row r="71" spans="7:13" x14ac:dyDescent="0.3">
      <c r="G71" s="2"/>
      <c r="H71" s="3"/>
      <c r="I71" s="3"/>
      <c r="J71" s="3"/>
      <c r="K71" s="3"/>
      <c r="L71" s="3"/>
      <c r="M71" s="3"/>
    </row>
    <row r="72" spans="7:13" x14ac:dyDescent="0.3">
      <c r="G72" s="2"/>
      <c r="H72" s="3"/>
      <c r="I72" s="3"/>
      <c r="J72" s="3"/>
      <c r="K72" s="3"/>
      <c r="L72" s="3"/>
      <c r="M72" s="3"/>
    </row>
    <row r="73" spans="7:13" x14ac:dyDescent="0.3">
      <c r="G73" s="2"/>
      <c r="H73" s="3"/>
      <c r="I73" s="3"/>
      <c r="J73" s="3"/>
      <c r="K73" s="3"/>
      <c r="L73" s="3"/>
      <c r="M73" s="3"/>
    </row>
    <row r="74" spans="7:13" x14ac:dyDescent="0.3">
      <c r="G74" s="2"/>
      <c r="H74" s="3"/>
      <c r="I74" s="3"/>
      <c r="J74" s="3"/>
      <c r="K74" s="3"/>
      <c r="L74" s="3"/>
      <c r="M74" s="3"/>
    </row>
    <row r="75" spans="7:13" x14ac:dyDescent="0.3">
      <c r="G75" s="2"/>
      <c r="H75" s="3"/>
      <c r="I75" s="3"/>
      <c r="J75" s="3"/>
      <c r="K75" s="3"/>
      <c r="L75" s="3"/>
      <c r="M75" s="3"/>
    </row>
    <row r="76" spans="7:13" x14ac:dyDescent="0.3">
      <c r="G76" s="2"/>
      <c r="H76" s="3"/>
      <c r="I76" s="3"/>
      <c r="J76" s="3"/>
      <c r="K76" s="3"/>
      <c r="L76" s="3"/>
      <c r="M76" s="3"/>
    </row>
    <row r="77" spans="7:13" x14ac:dyDescent="0.3">
      <c r="G77" s="2"/>
      <c r="H77" s="3"/>
      <c r="I77" s="3"/>
      <c r="J77" s="3"/>
      <c r="K77" s="3"/>
      <c r="L77" s="3"/>
      <c r="M77" s="3"/>
    </row>
    <row r="78" spans="7:13" x14ac:dyDescent="0.3">
      <c r="G78" s="2"/>
      <c r="H78" s="3"/>
      <c r="I78" s="3"/>
      <c r="J78" s="3"/>
      <c r="K78" s="3"/>
      <c r="L78" s="3"/>
      <c r="M78" s="3"/>
    </row>
    <row r="79" spans="7:13" x14ac:dyDescent="0.3">
      <c r="G79" s="2"/>
      <c r="H79" s="3"/>
      <c r="I79" s="3"/>
      <c r="J79" s="3"/>
      <c r="K79" s="3"/>
      <c r="L79" s="3"/>
      <c r="M79" s="3"/>
    </row>
    <row r="80" spans="7:13" x14ac:dyDescent="0.3">
      <c r="G80" s="2"/>
      <c r="H80" s="3"/>
      <c r="I80" s="3"/>
      <c r="J80" s="3"/>
      <c r="K80" s="3"/>
      <c r="L80" s="3"/>
      <c r="M80" s="3"/>
    </row>
    <row r="81" spans="7:13" x14ac:dyDescent="0.3">
      <c r="G81" s="2"/>
      <c r="H81" s="3"/>
      <c r="I81" s="3"/>
      <c r="J81" s="3"/>
      <c r="K81" s="3"/>
      <c r="L81" s="3"/>
      <c r="M81" s="3"/>
    </row>
    <row r="82" spans="7:13" x14ac:dyDescent="0.3">
      <c r="G82" s="2"/>
      <c r="H82" s="3"/>
      <c r="I82" s="3"/>
      <c r="J82" s="3"/>
      <c r="K82" s="3"/>
      <c r="L82" s="3"/>
      <c r="M82" s="3"/>
    </row>
    <row r="83" spans="7:13" x14ac:dyDescent="0.3">
      <c r="G83" s="2"/>
      <c r="H83" s="3"/>
      <c r="I83" s="3"/>
      <c r="J83" s="3"/>
      <c r="K83" s="3"/>
      <c r="L83" s="3"/>
      <c r="M83" s="3"/>
    </row>
    <row r="84" spans="7:13" x14ac:dyDescent="0.3">
      <c r="G84" s="2"/>
      <c r="H84" s="3"/>
      <c r="I84" s="3"/>
      <c r="J84" s="3"/>
      <c r="K84" s="3"/>
      <c r="L84" s="3"/>
      <c r="M84" s="3"/>
    </row>
    <row r="85" spans="7:13" x14ac:dyDescent="0.3">
      <c r="G85" s="2"/>
      <c r="H85" s="3"/>
      <c r="I85" s="3"/>
      <c r="J85" s="3"/>
      <c r="K85" s="3"/>
      <c r="L85" s="3"/>
      <c r="M85" s="3"/>
    </row>
    <row r="86" spans="7:13" x14ac:dyDescent="0.3">
      <c r="G86" s="2"/>
      <c r="H86" s="3"/>
      <c r="I86" s="3"/>
      <c r="J86" s="3"/>
      <c r="K86" s="3"/>
      <c r="L86" s="3"/>
      <c r="M86" s="3"/>
    </row>
    <row r="87" spans="7:13" x14ac:dyDescent="0.3">
      <c r="G87" s="2"/>
      <c r="H87" s="3"/>
      <c r="I87" s="3"/>
      <c r="J87" s="3"/>
      <c r="K87" s="3"/>
      <c r="L87" s="3"/>
      <c r="M87" s="3"/>
    </row>
    <row r="88" spans="7:13" x14ac:dyDescent="0.3">
      <c r="G88" s="2"/>
      <c r="H88" s="3"/>
      <c r="I88" s="3"/>
      <c r="J88" s="3"/>
      <c r="K88" s="3"/>
      <c r="L88" s="3"/>
      <c r="M88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B3580-FA89-4EFD-82C0-ABA630BA7538}">
  <sheetPr codeName="Лист3"/>
  <dimension ref="A1:O51"/>
  <sheetViews>
    <sheetView zoomScale="55" zoomScaleNormal="55" workbookViewId="0">
      <selection activeCell="D53" sqref="D53"/>
    </sheetView>
  </sheetViews>
  <sheetFormatPr defaultRowHeight="14.4" x14ac:dyDescent="0.3"/>
  <cols>
    <col min="1" max="1" width="2.88671875" bestFit="1" customWidth="1"/>
    <col min="2" max="2" width="16.77734375" bestFit="1" customWidth="1"/>
    <col min="3" max="3" width="11.109375" customWidth="1"/>
    <col min="4" max="4" width="17.21875" bestFit="1" customWidth="1"/>
    <col min="5" max="5" width="22" bestFit="1" customWidth="1"/>
    <col min="6" max="6" width="12.77734375" bestFit="1" customWidth="1"/>
    <col min="7" max="7" width="10.21875" customWidth="1"/>
    <col min="8" max="8" width="10.77734375" bestFit="1" customWidth="1"/>
    <col min="9" max="10" width="7.77734375" bestFit="1" customWidth="1"/>
    <col min="11" max="11" width="9.88671875" bestFit="1" customWidth="1"/>
    <col min="12" max="12" width="4.77734375" bestFit="1" customWidth="1"/>
    <col min="13" max="13" width="12.77734375" bestFit="1" customWidth="1"/>
    <col min="14" max="14" width="18.21875" bestFit="1" customWidth="1"/>
    <col min="15" max="15" width="11.109375" bestFit="1" customWidth="1"/>
    <col min="16" max="16" width="32.109375" bestFit="1" customWidth="1"/>
    <col min="17" max="17" width="10.77734375" bestFit="1" customWidth="1"/>
    <col min="18" max="18" width="10.33203125" bestFit="1" customWidth="1"/>
    <col min="19" max="19" width="11.21875" bestFit="1" customWidth="1"/>
    <col min="25" max="25" width="37.77734375" bestFit="1" customWidth="1"/>
    <col min="26" max="26" width="32.109375" bestFit="1" customWidth="1"/>
  </cols>
  <sheetData>
    <row r="1" spans="1:15" ht="15" thickBot="1" x14ac:dyDescent="0.35">
      <c r="A1" s="76"/>
      <c r="B1" s="78" t="s">
        <v>21</v>
      </c>
      <c r="C1" s="79"/>
      <c r="D1" s="80"/>
      <c r="E1" s="80"/>
      <c r="F1" s="80"/>
      <c r="G1" s="80"/>
      <c r="H1" s="80"/>
      <c r="I1" s="80"/>
      <c r="J1" s="79"/>
      <c r="K1" s="79"/>
      <c r="L1" s="79"/>
      <c r="M1" s="81"/>
    </row>
    <row r="2" spans="1:15" ht="15" thickBot="1" x14ac:dyDescent="0.35">
      <c r="A2" s="77"/>
      <c r="B2" s="50" t="s">
        <v>22</v>
      </c>
      <c r="C2" s="51"/>
      <c r="D2" s="78" t="s">
        <v>23</v>
      </c>
      <c r="E2" s="79"/>
      <c r="F2" s="79"/>
      <c r="G2" s="79"/>
      <c r="H2" s="79"/>
      <c r="I2" s="81"/>
      <c r="J2" s="52"/>
      <c r="K2" s="52" t="s">
        <v>19</v>
      </c>
      <c r="L2" s="52"/>
      <c r="M2" s="53"/>
    </row>
    <row r="3" spans="1:15" ht="15" thickBot="1" x14ac:dyDescent="0.35">
      <c r="A3" s="46" t="s">
        <v>24</v>
      </c>
      <c r="B3" s="54" t="s">
        <v>14</v>
      </c>
      <c r="C3" s="55" t="s">
        <v>13</v>
      </c>
      <c r="D3" s="45" t="s">
        <v>15</v>
      </c>
      <c r="E3" s="56" t="s">
        <v>17</v>
      </c>
      <c r="F3" s="45" t="s">
        <v>16</v>
      </c>
      <c r="G3" s="45" t="s">
        <v>31</v>
      </c>
      <c r="H3" s="45" t="s">
        <v>18</v>
      </c>
      <c r="I3" s="45" t="s">
        <v>25</v>
      </c>
      <c r="J3" s="44" t="s">
        <v>26</v>
      </c>
      <c r="K3" s="44" t="s">
        <v>20</v>
      </c>
      <c r="L3" s="44" t="s">
        <v>27</v>
      </c>
      <c r="M3" s="65" t="s">
        <v>28</v>
      </c>
    </row>
    <row r="4" spans="1:15" ht="15" thickBot="1" x14ac:dyDescent="0.35">
      <c r="A4" s="47">
        <v>1</v>
      </c>
      <c r="B4" s="72" t="s">
        <v>32</v>
      </c>
      <c r="C4" s="73" t="s">
        <v>29</v>
      </c>
      <c r="D4" s="36">
        <v>3</v>
      </c>
      <c r="E4" s="39">
        <v>3</v>
      </c>
      <c r="F4" s="39">
        <v>3</v>
      </c>
      <c r="G4" s="39">
        <v>4</v>
      </c>
      <c r="H4" s="39">
        <v>5</v>
      </c>
      <c r="I4" s="39">
        <f>AVERAGE(D4:H4)</f>
        <v>3.6</v>
      </c>
      <c r="J4" s="61">
        <f>IF(MIN(D4:H4)&lt;4, 0, 4330)</f>
        <v>0</v>
      </c>
      <c r="K4" s="61">
        <f>_xlfn.IFS(AND(J4&gt;0,I4=5),1075,AND(J4&gt;0,I4&gt;4),655,TRUE,0)</f>
        <v>0</v>
      </c>
      <c r="L4" s="59">
        <f>SUM(J4:K4)</f>
        <v>0</v>
      </c>
      <c r="M4" s="66" t="str">
        <f t="array" ref="M4">_xlfn.IFS(MIN(D4:H4)=2,"Неуд.",MIN(D4:H4)=3,"Уд.",MIN(D4:H4)=4,"Хор.",MIN(D4:H4)=5,"Отл.")</f>
        <v>Уд.</v>
      </c>
      <c r="N4" s="5" t="s">
        <v>76</v>
      </c>
      <c r="O4" t="s">
        <v>78</v>
      </c>
    </row>
    <row r="5" spans="1:15" ht="15" thickBot="1" x14ac:dyDescent="0.35">
      <c r="A5" s="48">
        <v>2</v>
      </c>
      <c r="B5" s="72" t="s">
        <v>33</v>
      </c>
      <c r="C5" s="73" t="s">
        <v>29</v>
      </c>
      <c r="D5" s="36">
        <v>5</v>
      </c>
      <c r="E5" s="39">
        <v>5</v>
      </c>
      <c r="F5" s="39">
        <v>5</v>
      </c>
      <c r="G5" s="39">
        <v>4</v>
      </c>
      <c r="H5" s="39">
        <v>5</v>
      </c>
      <c r="I5" s="39">
        <f t="shared" ref="I5:I43" si="0">AVERAGE(D5:H5)</f>
        <v>4.8</v>
      </c>
      <c r="J5" s="62">
        <f t="shared" ref="J5:J43" si="1">IF(MIN(D5:H5)&lt;4, 0, 4330)</f>
        <v>4330</v>
      </c>
      <c r="K5" s="62">
        <f>_xlfn.IFS(AND(J5&gt;0,I5=5),1075,AND(J5&gt;0,I5&gt;4),655,TRUE,0)</f>
        <v>655</v>
      </c>
      <c r="L5" s="57">
        <f t="shared" ref="L5:L43" si="2">SUM(J5:K5)</f>
        <v>4985</v>
      </c>
      <c r="M5" s="67" t="str">
        <f t="array" ref="M5">_xlfn.IFS(MIN(D5:H5)=2,"Неуд.",MIN(D5:H5)=3,"Уд.",MIN(D5:H5)=4,"Хор.",MIN(D5:H5)=5,"Отл.")</f>
        <v>Хор.</v>
      </c>
      <c r="N5" s="4" t="s">
        <v>74</v>
      </c>
      <c r="O5">
        <v>3</v>
      </c>
    </row>
    <row r="6" spans="1:15" ht="15" thickBot="1" x14ac:dyDescent="0.35">
      <c r="A6" s="48">
        <v>3</v>
      </c>
      <c r="B6" s="72" t="s">
        <v>34</v>
      </c>
      <c r="C6" s="73" t="s">
        <v>29</v>
      </c>
      <c r="D6" s="36">
        <v>5</v>
      </c>
      <c r="E6" s="39">
        <v>5</v>
      </c>
      <c r="F6" s="39">
        <v>5</v>
      </c>
      <c r="G6" s="39">
        <v>4</v>
      </c>
      <c r="H6" s="39">
        <v>5</v>
      </c>
      <c r="I6" s="39">
        <f t="shared" si="0"/>
        <v>4.8</v>
      </c>
      <c r="J6" s="62">
        <f t="shared" si="1"/>
        <v>4330</v>
      </c>
      <c r="K6" s="62">
        <f t="shared" ref="K6:K43" si="3">_xlfn.IFS(AND(J6&gt;0,I6=5),1075,AND(J6&gt;0,I6&gt;4),655,TRUE,0)</f>
        <v>655</v>
      </c>
      <c r="L6" s="57">
        <f t="shared" si="2"/>
        <v>4985</v>
      </c>
      <c r="M6" s="67" t="str">
        <f t="array" ref="M6">_xlfn.IFS(MIN(D6:H6)=2,"Неуд.",MIN(D6:H6)=3,"Уд.",MIN(D6:H6)=4,"Хор.",MIN(D6:H6)=5,"Отл.")</f>
        <v>Хор.</v>
      </c>
      <c r="N6" s="4" t="s">
        <v>73</v>
      </c>
      <c r="O6">
        <v>12</v>
      </c>
    </row>
    <row r="7" spans="1:15" ht="15" thickBot="1" x14ac:dyDescent="0.35">
      <c r="A7" s="48">
        <v>4</v>
      </c>
      <c r="B7" s="72" t="s">
        <v>35</v>
      </c>
      <c r="C7" s="73" t="s">
        <v>29</v>
      </c>
      <c r="D7" s="36">
        <v>3</v>
      </c>
      <c r="E7" s="39">
        <v>3</v>
      </c>
      <c r="F7" s="39">
        <v>3</v>
      </c>
      <c r="G7" s="39">
        <v>5</v>
      </c>
      <c r="H7" s="39">
        <v>5</v>
      </c>
      <c r="I7" s="39">
        <f t="shared" si="0"/>
        <v>3.8</v>
      </c>
      <c r="J7" s="62">
        <f t="shared" si="1"/>
        <v>0</v>
      </c>
      <c r="K7" s="62">
        <f>_xlfn.IFS(AND(J7&gt;0,I7=5),1075,AND(J7&gt;0,I7&gt;4),655,TRUE,0)</f>
        <v>0</v>
      </c>
      <c r="L7" s="57">
        <f t="shared" si="2"/>
        <v>0</v>
      </c>
      <c r="M7" s="67" t="str">
        <f t="array" ref="M7">_xlfn.IFS(MIN(D7:H7)=2,"Неуд.",MIN(D7:H7)=3,"Уд.",MIN(D7:H7)=4,"Хор.",MIN(D7:H7)=5,"Отл.")</f>
        <v>Уд.</v>
      </c>
      <c r="N7" s="4" t="s">
        <v>72</v>
      </c>
      <c r="O7">
        <v>5</v>
      </c>
    </row>
    <row r="8" spans="1:15" ht="15" thickBot="1" x14ac:dyDescent="0.35">
      <c r="A8" s="48">
        <v>5</v>
      </c>
      <c r="B8" s="72" t="s">
        <v>36</v>
      </c>
      <c r="C8" s="73" t="s">
        <v>29</v>
      </c>
      <c r="D8" s="36">
        <v>5</v>
      </c>
      <c r="E8" s="39">
        <v>5</v>
      </c>
      <c r="F8" s="39">
        <v>3</v>
      </c>
      <c r="G8" s="39">
        <v>4</v>
      </c>
      <c r="H8" s="39">
        <v>5</v>
      </c>
      <c r="I8" s="39">
        <f t="shared" si="0"/>
        <v>4.4000000000000004</v>
      </c>
      <c r="J8" s="62">
        <f t="shared" si="1"/>
        <v>0</v>
      </c>
      <c r="K8" s="62">
        <f t="shared" si="3"/>
        <v>0</v>
      </c>
      <c r="L8" s="57">
        <f t="shared" si="2"/>
        <v>0</v>
      </c>
      <c r="M8" s="67" t="str">
        <f t="array" ref="M8">_xlfn.IFS(MIN(D8:H8)=2,"Неуд.",MIN(D8:H8)=3,"Уд.",MIN(D8:H8)=4,"Хор.",MIN(D8:H8)=5,"Отл.")</f>
        <v>Уд.</v>
      </c>
      <c r="N8" s="4" t="s">
        <v>75</v>
      </c>
      <c r="O8">
        <v>20</v>
      </c>
    </row>
    <row r="9" spans="1:15" ht="15" thickBot="1" x14ac:dyDescent="0.35">
      <c r="A9" s="48">
        <v>6</v>
      </c>
      <c r="B9" s="72" t="s">
        <v>37</v>
      </c>
      <c r="C9" s="73" t="s">
        <v>29</v>
      </c>
      <c r="D9" s="36">
        <v>5</v>
      </c>
      <c r="E9" s="39">
        <v>5</v>
      </c>
      <c r="F9" s="39">
        <v>4</v>
      </c>
      <c r="G9" s="39">
        <v>4</v>
      </c>
      <c r="H9" s="39">
        <v>5</v>
      </c>
      <c r="I9" s="39">
        <f t="shared" si="0"/>
        <v>4.5999999999999996</v>
      </c>
      <c r="J9" s="62">
        <f t="shared" si="1"/>
        <v>4330</v>
      </c>
      <c r="K9" s="62">
        <f t="shared" si="3"/>
        <v>655</v>
      </c>
      <c r="L9" s="57">
        <f t="shared" si="2"/>
        <v>4985</v>
      </c>
      <c r="M9" s="67" t="str">
        <f t="array" ref="M9">_xlfn.IFS(MIN(D9:H9)=2,"Неуд.",MIN(D9:H9)=3,"Уд.",MIN(D9:H9)=4,"Хор.",MIN(D9:H9)=5,"Отл.")</f>
        <v>Хор.</v>
      </c>
    </row>
    <row r="10" spans="1:15" ht="15" thickBot="1" x14ac:dyDescent="0.35">
      <c r="A10" s="48">
        <v>7</v>
      </c>
      <c r="B10" s="72" t="s">
        <v>38</v>
      </c>
      <c r="C10" s="73" t="s">
        <v>29</v>
      </c>
      <c r="D10" s="36">
        <v>5</v>
      </c>
      <c r="E10" s="39">
        <v>3</v>
      </c>
      <c r="F10" s="39">
        <v>3</v>
      </c>
      <c r="G10" s="39">
        <v>4</v>
      </c>
      <c r="H10" s="39">
        <v>5</v>
      </c>
      <c r="I10" s="39">
        <f t="shared" si="0"/>
        <v>4</v>
      </c>
      <c r="J10" s="62">
        <f t="shared" si="1"/>
        <v>0</v>
      </c>
      <c r="K10" s="62">
        <f t="shared" si="3"/>
        <v>0</v>
      </c>
      <c r="L10" s="57">
        <f t="shared" si="2"/>
        <v>0</v>
      </c>
      <c r="M10" s="67" t="str">
        <f t="array" ref="M10">_xlfn.IFS(MIN(D10:H10)=2,"Неуд.",MIN(D10:H10)=3,"Уд.",MIN(D10:H10)=4,"Хор.",MIN(D10:H10)=5,"Отл.")</f>
        <v>Уд.</v>
      </c>
    </row>
    <row r="11" spans="1:15" ht="15" thickBot="1" x14ac:dyDescent="0.35">
      <c r="A11" s="48">
        <v>8</v>
      </c>
      <c r="B11" s="72" t="s">
        <v>39</v>
      </c>
      <c r="C11" s="73" t="s">
        <v>29</v>
      </c>
      <c r="D11" s="36">
        <v>5</v>
      </c>
      <c r="E11" s="39">
        <v>5</v>
      </c>
      <c r="F11" s="39">
        <v>3</v>
      </c>
      <c r="G11" s="39">
        <v>5</v>
      </c>
      <c r="H11" s="39">
        <v>5</v>
      </c>
      <c r="I11" s="39">
        <f t="shared" si="0"/>
        <v>4.5999999999999996</v>
      </c>
      <c r="J11" s="62">
        <f t="shared" si="1"/>
        <v>0</v>
      </c>
      <c r="K11" s="62">
        <f t="shared" si="3"/>
        <v>0</v>
      </c>
      <c r="L11" s="57">
        <f t="shared" si="2"/>
        <v>0</v>
      </c>
      <c r="M11" s="67" t="str">
        <f t="array" ref="M11">_xlfn.IFS(MIN(D11:H11)=2,"Неуд.",MIN(D11:H11)=3,"Уд.",MIN(D11:H11)=4,"Хор.",MIN(D11:H11)=5,"Отл.")</f>
        <v>Уд.</v>
      </c>
    </row>
    <row r="12" spans="1:15" ht="15" thickBot="1" x14ac:dyDescent="0.35">
      <c r="A12" s="48">
        <v>9</v>
      </c>
      <c r="B12" s="72" t="s">
        <v>40</v>
      </c>
      <c r="C12" s="73" t="s">
        <v>29</v>
      </c>
      <c r="D12" s="36">
        <v>3</v>
      </c>
      <c r="E12" s="39">
        <v>5</v>
      </c>
      <c r="F12" s="39">
        <v>3</v>
      </c>
      <c r="G12" s="39">
        <v>3</v>
      </c>
      <c r="H12" s="39">
        <v>4</v>
      </c>
      <c r="I12" s="39">
        <f t="shared" si="0"/>
        <v>3.6</v>
      </c>
      <c r="J12" s="62">
        <f t="shared" si="1"/>
        <v>0</v>
      </c>
      <c r="K12" s="62">
        <f t="shared" si="3"/>
        <v>0</v>
      </c>
      <c r="L12" s="57">
        <f t="shared" si="2"/>
        <v>0</v>
      </c>
      <c r="M12" s="67" t="str">
        <f t="array" ref="M12">_xlfn.IFS(MIN(D12:H12)=2,"Неуд.",MIN(D12:H12)=3,"Уд.",MIN(D12:H12)=4,"Хор.",MIN(D12:H12)=5,"Отл.")</f>
        <v>Уд.</v>
      </c>
    </row>
    <row r="13" spans="1:15" ht="15" thickBot="1" x14ac:dyDescent="0.35">
      <c r="A13" s="48">
        <v>10</v>
      </c>
      <c r="B13" s="72" t="s">
        <v>41</v>
      </c>
      <c r="C13" s="73" t="s">
        <v>29</v>
      </c>
      <c r="D13" s="36">
        <v>5</v>
      </c>
      <c r="E13" s="39">
        <v>4</v>
      </c>
      <c r="F13" s="39">
        <v>4</v>
      </c>
      <c r="G13" s="39">
        <v>5</v>
      </c>
      <c r="H13" s="39">
        <v>5</v>
      </c>
      <c r="I13" s="39">
        <f t="shared" si="0"/>
        <v>4.5999999999999996</v>
      </c>
      <c r="J13" s="62">
        <f t="shared" si="1"/>
        <v>4330</v>
      </c>
      <c r="K13" s="62">
        <f t="shared" si="3"/>
        <v>655</v>
      </c>
      <c r="L13" s="57">
        <f t="shared" si="2"/>
        <v>4985</v>
      </c>
      <c r="M13" s="67" t="str">
        <f t="array" ref="M13">_xlfn.IFS(MIN(D13:H13)=2,"Неуд.",MIN(D13:H13)=3,"Уд.",MIN(D13:H13)=4,"Хор.",MIN(D13:H13)=5,"Отл.")</f>
        <v>Хор.</v>
      </c>
    </row>
    <row r="14" spans="1:15" ht="15" thickBot="1" x14ac:dyDescent="0.35">
      <c r="A14" s="48">
        <v>11</v>
      </c>
      <c r="B14" s="72" t="s">
        <v>42</v>
      </c>
      <c r="C14" s="73" t="s">
        <v>29</v>
      </c>
      <c r="D14" s="36">
        <v>5</v>
      </c>
      <c r="E14" s="39">
        <v>3</v>
      </c>
      <c r="F14" s="39">
        <v>2</v>
      </c>
      <c r="G14" s="39">
        <v>5</v>
      </c>
      <c r="H14" s="39">
        <v>5</v>
      </c>
      <c r="I14" s="39">
        <f t="shared" si="0"/>
        <v>4</v>
      </c>
      <c r="J14" s="62">
        <f t="shared" si="1"/>
        <v>0</v>
      </c>
      <c r="K14" s="62">
        <f t="shared" si="3"/>
        <v>0</v>
      </c>
      <c r="L14" s="57">
        <f t="shared" si="2"/>
        <v>0</v>
      </c>
      <c r="M14" s="67" t="str">
        <f t="array" ref="M14">_xlfn.IFS(MIN(D14:H14)=2,"Неуд.",MIN(D14:H14)=3,"Уд.",MIN(D14:H14)=4,"Хор.",MIN(D14:H14)=5,"Отл.")</f>
        <v>Неуд.</v>
      </c>
    </row>
    <row r="15" spans="1:15" ht="15" thickBot="1" x14ac:dyDescent="0.35">
      <c r="A15" s="48">
        <v>12</v>
      </c>
      <c r="B15" s="72" t="s">
        <v>43</v>
      </c>
      <c r="C15" s="73" t="s">
        <v>29</v>
      </c>
      <c r="D15" s="36">
        <v>5</v>
      </c>
      <c r="E15" s="39">
        <v>2</v>
      </c>
      <c r="F15" s="39">
        <v>3</v>
      </c>
      <c r="G15" s="39">
        <v>5</v>
      </c>
      <c r="H15" s="39">
        <v>5</v>
      </c>
      <c r="I15" s="39">
        <f t="shared" si="0"/>
        <v>4</v>
      </c>
      <c r="J15" s="62">
        <f t="shared" si="1"/>
        <v>0</v>
      </c>
      <c r="K15" s="62">
        <f t="shared" si="3"/>
        <v>0</v>
      </c>
      <c r="L15" s="57">
        <f t="shared" si="2"/>
        <v>0</v>
      </c>
      <c r="M15" s="67" t="str">
        <f t="array" ref="M15">_xlfn.IFS(MIN(D15:H15)=2,"Неуд.",MIN(D15:H15)=3,"Уд.",MIN(D15:H15)=4,"Хор.",MIN(D15:H15)=5,"Отл.")</f>
        <v>Неуд.</v>
      </c>
    </row>
    <row r="16" spans="1:15" ht="15" thickBot="1" x14ac:dyDescent="0.35">
      <c r="A16" s="48">
        <v>13</v>
      </c>
      <c r="B16" s="72" t="s">
        <v>44</v>
      </c>
      <c r="C16" s="73" t="s">
        <v>29</v>
      </c>
      <c r="D16" s="36">
        <v>3</v>
      </c>
      <c r="E16" s="39">
        <v>3</v>
      </c>
      <c r="F16" s="39">
        <v>4</v>
      </c>
      <c r="G16" s="39">
        <v>4</v>
      </c>
      <c r="H16" s="39">
        <v>4</v>
      </c>
      <c r="I16" s="39">
        <f t="shared" si="0"/>
        <v>3.6</v>
      </c>
      <c r="J16" s="62">
        <f t="shared" si="1"/>
        <v>0</v>
      </c>
      <c r="K16" s="62">
        <f t="shared" si="3"/>
        <v>0</v>
      </c>
      <c r="L16" s="57">
        <f t="shared" si="2"/>
        <v>0</v>
      </c>
      <c r="M16" s="67" t="str">
        <f t="array" ref="M16">_xlfn.IFS(MIN(D16:H16)=2,"Неуд.",MIN(D16:H16)=3,"Уд.",MIN(D16:H16)=4,"Хор.",MIN(D16:H16)=5,"Отл.")</f>
        <v>Уд.</v>
      </c>
    </row>
    <row r="17" spans="1:15" ht="15" thickBot="1" x14ac:dyDescent="0.35">
      <c r="A17" s="48">
        <v>14</v>
      </c>
      <c r="B17" s="72" t="s">
        <v>45</v>
      </c>
      <c r="C17" s="73" t="s">
        <v>29</v>
      </c>
      <c r="D17" s="36">
        <v>3</v>
      </c>
      <c r="E17" s="39">
        <v>4</v>
      </c>
      <c r="F17" s="39">
        <v>5</v>
      </c>
      <c r="G17" s="39">
        <v>3</v>
      </c>
      <c r="H17" s="39">
        <v>5</v>
      </c>
      <c r="I17" s="39">
        <f t="shared" si="0"/>
        <v>4</v>
      </c>
      <c r="J17" s="62">
        <f t="shared" si="1"/>
        <v>0</v>
      </c>
      <c r="K17" s="62">
        <f t="shared" si="3"/>
        <v>0</v>
      </c>
      <c r="L17" s="57">
        <f t="shared" si="2"/>
        <v>0</v>
      </c>
      <c r="M17" s="67" t="str">
        <f t="array" ref="M17">_xlfn.IFS(MIN(D17:H17)=2,"Неуд.",MIN(D17:H17)=3,"Уд.",MIN(D17:H17)=4,"Хор.",MIN(D17:H17)=5,"Отл.")</f>
        <v>Уд.</v>
      </c>
    </row>
    <row r="18" spans="1:15" ht="15" thickBot="1" x14ac:dyDescent="0.35">
      <c r="A18" s="48">
        <v>15</v>
      </c>
      <c r="B18" s="72" t="s">
        <v>46</v>
      </c>
      <c r="C18" s="73" t="s">
        <v>29</v>
      </c>
      <c r="D18" s="36">
        <v>3</v>
      </c>
      <c r="E18" s="39">
        <v>3</v>
      </c>
      <c r="F18" s="39">
        <v>3</v>
      </c>
      <c r="G18" s="39">
        <v>4</v>
      </c>
      <c r="H18" s="39">
        <v>5</v>
      </c>
      <c r="I18" s="39">
        <f t="shared" si="0"/>
        <v>3.6</v>
      </c>
      <c r="J18" s="62">
        <f t="shared" si="1"/>
        <v>0</v>
      </c>
      <c r="K18" s="62">
        <f t="shared" si="3"/>
        <v>0</v>
      </c>
      <c r="L18" s="57">
        <f t="shared" si="2"/>
        <v>0</v>
      </c>
      <c r="M18" s="67" t="str">
        <f t="array" ref="M18">_xlfn.IFS(MIN(D18:H18)=2,"Неуд.",MIN(D18:H18)=3,"Уд.",MIN(D18:H18)=4,"Хор.",MIN(D18:H18)=5,"Отл.")</f>
        <v>Уд.</v>
      </c>
    </row>
    <row r="19" spans="1:15" ht="15" thickBot="1" x14ac:dyDescent="0.35">
      <c r="A19" s="48">
        <v>16</v>
      </c>
      <c r="B19" s="72" t="s">
        <v>47</v>
      </c>
      <c r="C19" s="73" t="s">
        <v>29</v>
      </c>
      <c r="D19" s="36">
        <v>5</v>
      </c>
      <c r="E19" s="39">
        <v>5</v>
      </c>
      <c r="F19" s="39">
        <v>5</v>
      </c>
      <c r="G19" s="39">
        <v>3</v>
      </c>
      <c r="H19" s="39">
        <v>5</v>
      </c>
      <c r="I19" s="39">
        <f t="shared" si="0"/>
        <v>4.5999999999999996</v>
      </c>
      <c r="J19" s="62">
        <f t="shared" si="1"/>
        <v>0</v>
      </c>
      <c r="K19" s="62">
        <f t="shared" si="3"/>
        <v>0</v>
      </c>
      <c r="L19" s="57">
        <f t="shared" si="2"/>
        <v>0</v>
      </c>
      <c r="M19" s="67" t="str">
        <f t="array" ref="M19">_xlfn.IFS(MIN(D19:H19)=2,"Неуд.",MIN(D19:H19)=3,"Уд.",MIN(D19:H19)=4,"Хор.",MIN(D19:H19)=5,"Отл.")</f>
        <v>Уд.</v>
      </c>
    </row>
    <row r="20" spans="1:15" ht="15" thickBot="1" x14ac:dyDescent="0.35">
      <c r="A20" s="48">
        <v>17</v>
      </c>
      <c r="B20" s="72" t="s">
        <v>48</v>
      </c>
      <c r="C20" s="73" t="s">
        <v>29</v>
      </c>
      <c r="D20" s="36">
        <v>3</v>
      </c>
      <c r="E20" s="39">
        <v>4</v>
      </c>
      <c r="F20" s="39">
        <v>3</v>
      </c>
      <c r="G20" s="39">
        <v>4</v>
      </c>
      <c r="H20" s="39">
        <v>5</v>
      </c>
      <c r="I20" s="39">
        <f t="shared" si="0"/>
        <v>3.8</v>
      </c>
      <c r="J20" s="62">
        <f t="shared" si="1"/>
        <v>0</v>
      </c>
      <c r="K20" s="62">
        <f t="shared" si="3"/>
        <v>0</v>
      </c>
      <c r="L20" s="57">
        <f t="shared" si="2"/>
        <v>0</v>
      </c>
      <c r="M20" s="67" t="str">
        <f t="array" ref="M20">_xlfn.IFS(MIN(D20:H20)=2,"Неуд.",MIN(D20:H20)=3,"Уд.",MIN(D20:H20)=4,"Хор.",MIN(D20:H20)=5,"Отл.")</f>
        <v>Уд.</v>
      </c>
    </row>
    <row r="21" spans="1:15" ht="15" thickBot="1" x14ac:dyDescent="0.35">
      <c r="A21" s="48">
        <v>18</v>
      </c>
      <c r="B21" s="72" t="s">
        <v>49</v>
      </c>
      <c r="C21" s="73" t="s">
        <v>29</v>
      </c>
      <c r="D21" s="36">
        <v>4</v>
      </c>
      <c r="E21" s="39">
        <v>5</v>
      </c>
      <c r="F21" s="39">
        <v>4</v>
      </c>
      <c r="G21" s="39">
        <v>5</v>
      </c>
      <c r="H21" s="39">
        <v>5</v>
      </c>
      <c r="I21" s="39">
        <f t="shared" si="0"/>
        <v>4.5999999999999996</v>
      </c>
      <c r="J21" s="62">
        <f t="shared" si="1"/>
        <v>4330</v>
      </c>
      <c r="K21" s="62">
        <f t="shared" si="3"/>
        <v>655</v>
      </c>
      <c r="L21" s="57">
        <f t="shared" si="2"/>
        <v>4985</v>
      </c>
      <c r="M21" s="67" t="str">
        <f t="array" ref="M21">_xlfn.IFS(MIN(D21:H21)=2,"Неуд.",MIN(D21:H21)=3,"Уд.",MIN(D21:H21)=4,"Хор.",MIN(D21:H21)=5,"Отл.")</f>
        <v>Хор.</v>
      </c>
    </row>
    <row r="22" spans="1:15" ht="15" thickBot="1" x14ac:dyDescent="0.35">
      <c r="A22" s="48">
        <v>19</v>
      </c>
      <c r="B22" s="72" t="s">
        <v>50</v>
      </c>
      <c r="C22" s="73" t="s">
        <v>29</v>
      </c>
      <c r="D22" s="36">
        <v>5</v>
      </c>
      <c r="E22" s="39">
        <v>4</v>
      </c>
      <c r="F22" s="39">
        <v>3</v>
      </c>
      <c r="G22" s="39">
        <v>4</v>
      </c>
      <c r="H22" s="39">
        <v>5</v>
      </c>
      <c r="I22" s="39">
        <f t="shared" si="0"/>
        <v>4.2</v>
      </c>
      <c r="J22" s="62">
        <f t="shared" si="1"/>
        <v>0</v>
      </c>
      <c r="K22" s="62">
        <f t="shared" si="3"/>
        <v>0</v>
      </c>
      <c r="L22" s="57">
        <f t="shared" si="2"/>
        <v>0</v>
      </c>
      <c r="M22" s="67" t="str">
        <f t="array" ref="M22">_xlfn.IFS(MIN(D22:H22)=2,"Неуд.",MIN(D22:H22)=3,"Уд.",MIN(D22:H22)=4,"Хор.",MIN(D22:H22)=5,"Отл.")</f>
        <v>Уд.</v>
      </c>
    </row>
    <row r="23" spans="1:15" ht="15" thickBot="1" x14ac:dyDescent="0.35">
      <c r="A23" s="49">
        <v>20</v>
      </c>
      <c r="B23" s="74" t="s">
        <v>51</v>
      </c>
      <c r="C23" s="75" t="s">
        <v>29</v>
      </c>
      <c r="D23" s="37">
        <v>2</v>
      </c>
      <c r="E23" s="40">
        <v>3</v>
      </c>
      <c r="F23" s="40">
        <v>5</v>
      </c>
      <c r="G23" s="40">
        <v>5</v>
      </c>
      <c r="H23" s="40">
        <v>5</v>
      </c>
      <c r="I23" s="40">
        <f t="shared" si="0"/>
        <v>4</v>
      </c>
      <c r="J23" s="63">
        <f t="shared" si="1"/>
        <v>0</v>
      </c>
      <c r="K23" s="63">
        <f t="shared" si="3"/>
        <v>0</v>
      </c>
      <c r="L23" s="58">
        <f t="shared" si="2"/>
        <v>0</v>
      </c>
      <c r="M23" s="68" t="str">
        <f t="array" ref="M23">_xlfn.IFS(MIN(D23:H23)=2,"Неуд.",MIN(D23:H23)=3,"Уд.",MIN(D23:H23)=4,"Хор.",MIN(D23:H23)=5,"Отл.")</f>
        <v>Неуд.</v>
      </c>
    </row>
    <row r="24" spans="1:15" ht="15" thickBot="1" x14ac:dyDescent="0.35">
      <c r="A24" s="47">
        <v>21</v>
      </c>
      <c r="B24" s="69" t="s">
        <v>52</v>
      </c>
      <c r="C24" s="43" t="s">
        <v>30</v>
      </c>
      <c r="D24" s="35">
        <v>5</v>
      </c>
      <c r="E24" s="38">
        <v>5</v>
      </c>
      <c r="F24" s="38">
        <v>5</v>
      </c>
      <c r="G24" s="38">
        <v>5</v>
      </c>
      <c r="H24" s="38">
        <v>5</v>
      </c>
      <c r="I24" s="3">
        <f t="shared" si="0"/>
        <v>5</v>
      </c>
      <c r="J24" s="61">
        <f t="shared" si="1"/>
        <v>4330</v>
      </c>
      <c r="K24" s="61">
        <f t="shared" si="3"/>
        <v>1075</v>
      </c>
      <c r="L24" s="59">
        <f t="shared" si="2"/>
        <v>5405</v>
      </c>
      <c r="M24" s="67" t="str">
        <f t="array" ref="M24">_xlfn.IFS(MIN(D24:H24)=2,"Неуд.",MIN(D24:H24)=3,"Уд.",MIN(D24:H24)=4,"Хор.",MIN(D24:H24)=5,"Отл.")</f>
        <v>Отл.</v>
      </c>
      <c r="N24" s="5" t="s">
        <v>76</v>
      </c>
      <c r="O24" t="s">
        <v>78</v>
      </c>
    </row>
    <row r="25" spans="1:15" ht="15" thickBot="1" x14ac:dyDescent="0.35">
      <c r="A25" s="48">
        <v>22</v>
      </c>
      <c r="B25" s="69" t="s">
        <v>53</v>
      </c>
      <c r="C25" s="43" t="s">
        <v>30</v>
      </c>
      <c r="D25" s="36">
        <v>4</v>
      </c>
      <c r="E25" s="39">
        <v>3</v>
      </c>
      <c r="F25" s="39">
        <v>5</v>
      </c>
      <c r="G25" s="39">
        <v>5</v>
      </c>
      <c r="H25" s="39">
        <v>3</v>
      </c>
      <c r="I25" s="3">
        <f t="shared" si="0"/>
        <v>4</v>
      </c>
      <c r="J25" s="62">
        <f t="shared" si="1"/>
        <v>0</v>
      </c>
      <c r="K25" s="62">
        <f t="shared" si="3"/>
        <v>0</v>
      </c>
      <c r="L25" s="57">
        <f t="shared" si="2"/>
        <v>0</v>
      </c>
      <c r="M25" s="67" t="str">
        <f t="array" ref="M25">_xlfn.IFS(MIN(D25:H25)=2,"Неуд.",MIN(D25:H25)=3,"Уд.",MIN(D25:H25)=4,"Хор.",MIN(D25:H25)=5,"Отл.")</f>
        <v>Уд.</v>
      </c>
      <c r="N25" s="4" t="s">
        <v>74</v>
      </c>
      <c r="O25">
        <v>3</v>
      </c>
    </row>
    <row r="26" spans="1:15" ht="15" thickBot="1" x14ac:dyDescent="0.35">
      <c r="A26" s="48">
        <v>23</v>
      </c>
      <c r="B26" s="69" t="s">
        <v>54</v>
      </c>
      <c r="C26" s="43" t="s">
        <v>30</v>
      </c>
      <c r="D26" s="36">
        <v>3</v>
      </c>
      <c r="E26" s="39">
        <v>5</v>
      </c>
      <c r="F26" s="39">
        <v>5</v>
      </c>
      <c r="G26" s="39">
        <v>5</v>
      </c>
      <c r="H26" s="39">
        <v>5</v>
      </c>
      <c r="I26" s="3">
        <f t="shared" si="0"/>
        <v>4.5999999999999996</v>
      </c>
      <c r="J26" s="62">
        <f t="shared" si="1"/>
        <v>0</v>
      </c>
      <c r="K26" s="62">
        <f t="shared" si="3"/>
        <v>0</v>
      </c>
      <c r="L26" s="57">
        <f t="shared" si="2"/>
        <v>0</v>
      </c>
      <c r="M26" s="67" t="str">
        <f t="array" ref="M26">_xlfn.IFS(MIN(D26:H26)=2,"Неуд.",MIN(D26:H26)=3,"Уд.",MIN(D26:H26)=4,"Хор.",MIN(D26:H26)=5,"Отл.")</f>
        <v>Уд.</v>
      </c>
      <c r="N26" s="4" t="s">
        <v>73</v>
      </c>
      <c r="O26">
        <v>9</v>
      </c>
    </row>
    <row r="27" spans="1:15" ht="15" thickBot="1" x14ac:dyDescent="0.35">
      <c r="A27" s="48">
        <v>24</v>
      </c>
      <c r="B27" s="69" t="s">
        <v>55</v>
      </c>
      <c r="C27" s="43" t="s">
        <v>30</v>
      </c>
      <c r="D27" s="36">
        <v>5</v>
      </c>
      <c r="E27" s="39">
        <v>5</v>
      </c>
      <c r="F27" s="39">
        <v>5</v>
      </c>
      <c r="G27" s="39">
        <v>5</v>
      </c>
      <c r="H27" s="39">
        <v>5</v>
      </c>
      <c r="I27" s="3">
        <f t="shared" si="0"/>
        <v>5</v>
      </c>
      <c r="J27" s="62">
        <f t="shared" si="1"/>
        <v>4330</v>
      </c>
      <c r="K27" s="62">
        <f t="shared" si="3"/>
        <v>1075</v>
      </c>
      <c r="L27" s="57">
        <f t="shared" si="2"/>
        <v>5405</v>
      </c>
      <c r="M27" s="67" t="str">
        <f t="array" ref="M27">_xlfn.IFS(MIN(D27:H27)=2,"Неуд.",MIN(D27:H27)=3,"Уд.",MIN(D27:H27)=4,"Хор.",MIN(D27:H27)=5,"Отл.")</f>
        <v>Отл.</v>
      </c>
      <c r="N27" s="4" t="s">
        <v>72</v>
      </c>
      <c r="O27">
        <v>4</v>
      </c>
    </row>
    <row r="28" spans="1:15" ht="15" thickBot="1" x14ac:dyDescent="0.35">
      <c r="A28" s="48">
        <v>25</v>
      </c>
      <c r="B28" s="69" t="s">
        <v>56</v>
      </c>
      <c r="C28" s="43" t="s">
        <v>30</v>
      </c>
      <c r="D28" s="36">
        <v>3</v>
      </c>
      <c r="E28" s="39">
        <v>3</v>
      </c>
      <c r="F28" s="39">
        <v>4</v>
      </c>
      <c r="G28" s="39">
        <v>5</v>
      </c>
      <c r="H28" s="39">
        <v>3</v>
      </c>
      <c r="I28" s="3">
        <f t="shared" si="0"/>
        <v>3.6</v>
      </c>
      <c r="J28" s="62">
        <f t="shared" si="1"/>
        <v>0</v>
      </c>
      <c r="K28" s="62">
        <f t="shared" si="3"/>
        <v>0</v>
      </c>
      <c r="L28" s="57">
        <f t="shared" si="2"/>
        <v>0</v>
      </c>
      <c r="M28" s="67" t="str">
        <f t="array" ref="M28">_xlfn.IFS(MIN(D28:H28)=2,"Неуд.",MIN(D28:H28)=3,"Уд.",MIN(D28:H28)=4,"Хор.",MIN(D28:H28)=5,"Отл.")</f>
        <v>Уд.</v>
      </c>
      <c r="N28" s="4" t="s">
        <v>77</v>
      </c>
      <c r="O28">
        <v>4</v>
      </c>
    </row>
    <row r="29" spans="1:15" ht="15" thickBot="1" x14ac:dyDescent="0.35">
      <c r="A29" s="48">
        <v>26</v>
      </c>
      <c r="B29" s="69" t="s">
        <v>57</v>
      </c>
      <c r="C29" s="43" t="s">
        <v>30</v>
      </c>
      <c r="D29" s="36">
        <v>4</v>
      </c>
      <c r="E29" s="39">
        <v>5</v>
      </c>
      <c r="F29" s="39">
        <v>5</v>
      </c>
      <c r="G29" s="39">
        <v>5</v>
      </c>
      <c r="H29" s="39">
        <v>5</v>
      </c>
      <c r="I29" s="3">
        <f t="shared" si="0"/>
        <v>4.8</v>
      </c>
      <c r="J29" s="62">
        <f t="shared" si="1"/>
        <v>4330</v>
      </c>
      <c r="K29" s="62">
        <f t="shared" si="3"/>
        <v>655</v>
      </c>
      <c r="L29" s="57">
        <f t="shared" si="2"/>
        <v>4985</v>
      </c>
      <c r="M29" s="67" t="str">
        <f t="array" ref="M29">_xlfn.IFS(MIN(D29:H29)=2,"Неуд.",MIN(D29:H29)=3,"Уд.",MIN(D29:H29)=4,"Хор.",MIN(D29:H29)=5,"Отл.")</f>
        <v>Хор.</v>
      </c>
      <c r="N29" s="4" t="s">
        <v>75</v>
      </c>
      <c r="O29">
        <v>20</v>
      </c>
    </row>
    <row r="30" spans="1:15" ht="15" thickBot="1" x14ac:dyDescent="0.35">
      <c r="A30" s="48">
        <v>27</v>
      </c>
      <c r="B30" s="69" t="s">
        <v>58</v>
      </c>
      <c r="C30" s="43" t="s">
        <v>30</v>
      </c>
      <c r="D30" s="36">
        <v>2</v>
      </c>
      <c r="E30" s="39">
        <v>4</v>
      </c>
      <c r="F30" s="39">
        <v>3</v>
      </c>
      <c r="G30" s="39">
        <v>5</v>
      </c>
      <c r="H30" s="39">
        <v>4</v>
      </c>
      <c r="I30" s="3">
        <f t="shared" si="0"/>
        <v>3.6</v>
      </c>
      <c r="J30" s="62">
        <f t="shared" si="1"/>
        <v>0</v>
      </c>
      <c r="K30" s="62">
        <f t="shared" si="3"/>
        <v>0</v>
      </c>
      <c r="L30" s="57">
        <f t="shared" si="2"/>
        <v>0</v>
      </c>
      <c r="M30" s="67" t="str">
        <f t="array" ref="M30">_xlfn.IFS(MIN(D30:H30)=2,"Неуд.",MIN(D30:H30)=3,"Уд.",MIN(D30:H30)=4,"Хор.",MIN(D30:H30)=5,"Отл.")</f>
        <v>Неуд.</v>
      </c>
    </row>
    <row r="31" spans="1:15" ht="15" thickBot="1" x14ac:dyDescent="0.35">
      <c r="A31" s="48">
        <v>28</v>
      </c>
      <c r="B31" s="69" t="s">
        <v>59</v>
      </c>
      <c r="C31" s="43" t="s">
        <v>30</v>
      </c>
      <c r="D31" s="36">
        <v>4</v>
      </c>
      <c r="E31" s="39">
        <v>4</v>
      </c>
      <c r="F31" s="39">
        <v>4</v>
      </c>
      <c r="G31" s="39">
        <v>5</v>
      </c>
      <c r="H31" s="39">
        <v>4</v>
      </c>
      <c r="I31" s="3">
        <f t="shared" si="0"/>
        <v>4.2</v>
      </c>
      <c r="J31" s="62">
        <f t="shared" si="1"/>
        <v>4330</v>
      </c>
      <c r="K31" s="62">
        <f t="shared" si="3"/>
        <v>655</v>
      </c>
      <c r="L31" s="57">
        <f t="shared" si="2"/>
        <v>4985</v>
      </c>
      <c r="M31" s="67" t="str">
        <f t="array" ref="M31">_xlfn.IFS(MIN(D31:H31)=2,"Неуд.",MIN(D31:H31)=3,"Уд.",MIN(D31:H31)=4,"Хор.",MIN(D31:H31)=5,"Отл.")</f>
        <v>Хор.</v>
      </c>
    </row>
    <row r="32" spans="1:15" ht="15" thickBot="1" x14ac:dyDescent="0.35">
      <c r="A32" s="48">
        <v>29</v>
      </c>
      <c r="B32" s="69" t="s">
        <v>60</v>
      </c>
      <c r="C32" s="43" t="s">
        <v>30</v>
      </c>
      <c r="D32" s="36">
        <v>5</v>
      </c>
      <c r="E32" s="39">
        <v>5</v>
      </c>
      <c r="F32" s="39">
        <v>5</v>
      </c>
      <c r="G32" s="39">
        <v>5</v>
      </c>
      <c r="H32" s="39">
        <v>5</v>
      </c>
      <c r="I32" s="3">
        <f t="shared" si="0"/>
        <v>5</v>
      </c>
      <c r="J32" s="62">
        <f t="shared" si="1"/>
        <v>4330</v>
      </c>
      <c r="K32" s="62">
        <f t="shared" si="3"/>
        <v>1075</v>
      </c>
      <c r="L32" s="57">
        <f t="shared" si="2"/>
        <v>5405</v>
      </c>
      <c r="M32" s="67" t="str">
        <f t="array" ref="M32">_xlfn.IFS(MIN(D32:H32)=2,"Неуд.",MIN(D32:H32)=3,"Уд.",MIN(D32:H32)=4,"Хор.",MIN(D32:H32)=5,"Отл.")</f>
        <v>Отл.</v>
      </c>
    </row>
    <row r="33" spans="1:13" ht="15" thickBot="1" x14ac:dyDescent="0.35">
      <c r="A33" s="48">
        <v>30</v>
      </c>
      <c r="B33" s="69" t="s">
        <v>61</v>
      </c>
      <c r="C33" s="43" t="s">
        <v>30</v>
      </c>
      <c r="D33" s="36">
        <v>4</v>
      </c>
      <c r="E33" s="39">
        <v>5</v>
      </c>
      <c r="F33" s="39">
        <v>5</v>
      </c>
      <c r="G33" s="39">
        <v>5</v>
      </c>
      <c r="H33" s="39">
        <v>5</v>
      </c>
      <c r="I33" s="3">
        <f t="shared" si="0"/>
        <v>4.8</v>
      </c>
      <c r="J33" s="62">
        <f t="shared" si="1"/>
        <v>4330</v>
      </c>
      <c r="K33" s="62">
        <f t="shared" si="3"/>
        <v>655</v>
      </c>
      <c r="L33" s="57">
        <f t="shared" si="2"/>
        <v>4985</v>
      </c>
      <c r="M33" s="67" t="str">
        <f t="array" ref="M33">_xlfn.IFS(MIN(D33:H33)=2,"Неуд.",MIN(D33:H33)=3,"Уд.",MIN(D33:H33)=4,"Хор.",MIN(D33:H33)=5,"Отл.")</f>
        <v>Хор.</v>
      </c>
    </row>
    <row r="34" spans="1:13" ht="15" thickBot="1" x14ac:dyDescent="0.35">
      <c r="A34" s="48">
        <v>31</v>
      </c>
      <c r="B34" s="69" t="s">
        <v>62</v>
      </c>
      <c r="C34" s="43" t="s">
        <v>30</v>
      </c>
      <c r="D34" s="36">
        <v>5</v>
      </c>
      <c r="E34" s="39">
        <v>4</v>
      </c>
      <c r="F34" s="39">
        <v>5</v>
      </c>
      <c r="G34" s="39">
        <v>5</v>
      </c>
      <c r="H34" s="39">
        <v>3</v>
      </c>
      <c r="I34" s="3">
        <f t="shared" si="0"/>
        <v>4.4000000000000004</v>
      </c>
      <c r="J34" s="62">
        <f t="shared" si="1"/>
        <v>0</v>
      </c>
      <c r="K34" s="62">
        <f t="shared" si="3"/>
        <v>0</v>
      </c>
      <c r="L34" s="57">
        <f t="shared" si="2"/>
        <v>0</v>
      </c>
      <c r="M34" s="67" t="str">
        <f t="array" ref="M34">_xlfn.IFS(MIN(D34:H34)=2,"Неуд.",MIN(D34:H34)=3,"Уд.",MIN(D34:H34)=4,"Хор.",MIN(D34:H34)=5,"Отл.")</f>
        <v>Уд.</v>
      </c>
    </row>
    <row r="35" spans="1:13" ht="15" thickBot="1" x14ac:dyDescent="0.35">
      <c r="A35" s="48">
        <v>32</v>
      </c>
      <c r="B35" s="69" t="s">
        <v>63</v>
      </c>
      <c r="C35" s="43" t="s">
        <v>30</v>
      </c>
      <c r="D35" s="36">
        <v>5</v>
      </c>
      <c r="E35" s="39">
        <v>5</v>
      </c>
      <c r="F35" s="39">
        <v>5</v>
      </c>
      <c r="G35" s="39">
        <v>5</v>
      </c>
      <c r="H35" s="39">
        <v>3</v>
      </c>
      <c r="I35" s="3">
        <f t="shared" si="0"/>
        <v>4.5999999999999996</v>
      </c>
      <c r="J35" s="62">
        <f t="shared" si="1"/>
        <v>0</v>
      </c>
      <c r="K35" s="62">
        <f t="shared" si="3"/>
        <v>0</v>
      </c>
      <c r="L35" s="57">
        <f t="shared" si="2"/>
        <v>0</v>
      </c>
      <c r="M35" s="67" t="str">
        <f t="array" ref="M35">_xlfn.IFS(MIN(D35:H35)=2,"Неуд.",MIN(D35:H35)=3,"Уд.",MIN(D35:H35)=4,"Хор.",MIN(D35:H35)=5,"Отл.")</f>
        <v>Уд.</v>
      </c>
    </row>
    <row r="36" spans="1:13" ht="15" thickBot="1" x14ac:dyDescent="0.35">
      <c r="A36" s="48">
        <v>33</v>
      </c>
      <c r="B36" s="69" t="s">
        <v>64</v>
      </c>
      <c r="C36" s="43" t="s">
        <v>30</v>
      </c>
      <c r="D36" s="36">
        <v>3</v>
      </c>
      <c r="E36" s="39">
        <v>5</v>
      </c>
      <c r="F36" s="39">
        <v>4</v>
      </c>
      <c r="G36" s="39">
        <v>5</v>
      </c>
      <c r="H36" s="39">
        <v>5</v>
      </c>
      <c r="I36" s="3">
        <f t="shared" si="0"/>
        <v>4.4000000000000004</v>
      </c>
      <c r="J36" s="62">
        <f t="shared" si="1"/>
        <v>0</v>
      </c>
      <c r="K36" s="62">
        <f t="shared" si="3"/>
        <v>0</v>
      </c>
      <c r="L36" s="57">
        <f t="shared" si="2"/>
        <v>0</v>
      </c>
      <c r="M36" s="67" t="str">
        <f t="array" ref="M36">_xlfn.IFS(MIN(D36:H36)=2,"Неуд.",MIN(D36:H36)=3,"Уд.",MIN(D36:H36)=4,"Хор.",MIN(D36:H36)=5,"Отл.")</f>
        <v>Уд.</v>
      </c>
    </row>
    <row r="37" spans="1:13" ht="15" thickBot="1" x14ac:dyDescent="0.35">
      <c r="A37" s="48">
        <v>34</v>
      </c>
      <c r="B37" s="69" t="s">
        <v>65</v>
      </c>
      <c r="C37" s="43" t="s">
        <v>30</v>
      </c>
      <c r="D37" s="36">
        <v>3</v>
      </c>
      <c r="E37" s="39">
        <v>3</v>
      </c>
      <c r="F37" s="39">
        <v>3</v>
      </c>
      <c r="G37" s="39">
        <v>5</v>
      </c>
      <c r="H37" s="39">
        <v>3</v>
      </c>
      <c r="I37" s="3">
        <f t="shared" si="0"/>
        <v>3.4</v>
      </c>
      <c r="J37" s="62">
        <f t="shared" si="1"/>
        <v>0</v>
      </c>
      <c r="K37" s="62">
        <f t="shared" si="3"/>
        <v>0</v>
      </c>
      <c r="L37" s="57">
        <f t="shared" si="2"/>
        <v>0</v>
      </c>
      <c r="M37" s="67" t="str">
        <f t="array" ref="M37">_xlfn.IFS(MIN(D37:H37)=2,"Неуд.",MIN(D37:H37)=3,"Уд.",MIN(D37:H37)=4,"Хор.",MIN(D37:H37)=5,"Отл.")</f>
        <v>Уд.</v>
      </c>
    </row>
    <row r="38" spans="1:13" ht="15" thickBot="1" x14ac:dyDescent="0.35">
      <c r="A38" s="48">
        <v>35</v>
      </c>
      <c r="B38" s="69" t="s">
        <v>66</v>
      </c>
      <c r="C38" s="43" t="s">
        <v>30</v>
      </c>
      <c r="D38" s="36">
        <v>3</v>
      </c>
      <c r="E38" s="39">
        <v>3</v>
      </c>
      <c r="F38" s="39">
        <v>4</v>
      </c>
      <c r="G38" s="39">
        <v>5</v>
      </c>
      <c r="H38" s="39">
        <v>3</v>
      </c>
      <c r="I38" s="3">
        <f t="shared" si="0"/>
        <v>3.6</v>
      </c>
      <c r="J38" s="62">
        <f t="shared" si="1"/>
        <v>0</v>
      </c>
      <c r="K38" s="62">
        <f t="shared" si="3"/>
        <v>0</v>
      </c>
      <c r="L38" s="57">
        <f t="shared" si="2"/>
        <v>0</v>
      </c>
      <c r="M38" s="67" t="str">
        <f t="array" ref="M38">_xlfn.IFS(MIN(D38:H38)=2,"Неуд.",MIN(D38:H38)=3,"Уд.",MIN(D38:H38)=4,"Хор.",MIN(D38:H38)=5,"Отл.")</f>
        <v>Уд.</v>
      </c>
    </row>
    <row r="39" spans="1:13" ht="15" thickBot="1" x14ac:dyDescent="0.35">
      <c r="A39" s="48">
        <v>36</v>
      </c>
      <c r="B39" s="69" t="s">
        <v>67</v>
      </c>
      <c r="C39" s="43" t="s">
        <v>30</v>
      </c>
      <c r="D39" s="36">
        <v>5</v>
      </c>
      <c r="E39" s="39">
        <v>3</v>
      </c>
      <c r="F39" s="39">
        <v>2</v>
      </c>
      <c r="G39" s="39">
        <v>5</v>
      </c>
      <c r="H39" s="39">
        <v>3</v>
      </c>
      <c r="I39" s="3">
        <f t="shared" si="0"/>
        <v>3.6</v>
      </c>
      <c r="J39" s="62">
        <f t="shared" si="1"/>
        <v>0</v>
      </c>
      <c r="K39" s="62">
        <f t="shared" si="3"/>
        <v>0</v>
      </c>
      <c r="L39" s="57">
        <f t="shared" si="2"/>
        <v>0</v>
      </c>
      <c r="M39" s="67" t="str">
        <f t="array" ref="M39">_xlfn.IFS(MIN(D39:H39)=2,"Неуд.",MIN(D39:H39)=3,"Уд.",MIN(D39:H39)=4,"Хор.",MIN(D39:H39)=5,"Отл.")</f>
        <v>Неуд.</v>
      </c>
    </row>
    <row r="40" spans="1:13" ht="15" thickBot="1" x14ac:dyDescent="0.35">
      <c r="A40" s="48">
        <v>37</v>
      </c>
      <c r="B40" s="69" t="s">
        <v>68</v>
      </c>
      <c r="C40" s="43" t="s">
        <v>30</v>
      </c>
      <c r="D40" s="36">
        <v>3</v>
      </c>
      <c r="E40" s="39">
        <v>5</v>
      </c>
      <c r="F40" s="39">
        <v>5</v>
      </c>
      <c r="G40" s="39">
        <v>5</v>
      </c>
      <c r="H40" s="39">
        <v>3</v>
      </c>
      <c r="I40" s="3">
        <f t="shared" si="0"/>
        <v>4.2</v>
      </c>
      <c r="J40" s="62">
        <f t="shared" si="1"/>
        <v>0</v>
      </c>
      <c r="K40" s="62">
        <f t="shared" si="3"/>
        <v>0</v>
      </c>
      <c r="L40" s="57">
        <f t="shared" si="2"/>
        <v>0</v>
      </c>
      <c r="M40" s="67" t="str">
        <f t="array" ref="M40">_xlfn.IFS(MIN(D40:H40)=2,"Неуд.",MIN(D40:H40)=3,"Уд.",MIN(D40:H40)=4,"Хор.",MIN(D40:H40)=5,"Отл.")</f>
        <v>Уд.</v>
      </c>
    </row>
    <row r="41" spans="1:13" ht="15" thickBot="1" x14ac:dyDescent="0.35">
      <c r="A41" s="48">
        <v>38</v>
      </c>
      <c r="B41" s="69" t="s">
        <v>69</v>
      </c>
      <c r="C41" s="43" t="s">
        <v>30</v>
      </c>
      <c r="D41" s="36">
        <v>4</v>
      </c>
      <c r="E41" s="39">
        <v>5</v>
      </c>
      <c r="F41" s="39">
        <v>5</v>
      </c>
      <c r="G41" s="39">
        <v>5</v>
      </c>
      <c r="H41" s="39">
        <v>5</v>
      </c>
      <c r="I41" s="3">
        <f t="shared" si="0"/>
        <v>4.8</v>
      </c>
      <c r="J41" s="62">
        <f t="shared" si="1"/>
        <v>4330</v>
      </c>
      <c r="K41" s="62">
        <f t="shared" si="3"/>
        <v>655</v>
      </c>
      <c r="L41" s="57">
        <f t="shared" si="2"/>
        <v>4985</v>
      </c>
      <c r="M41" s="67" t="str">
        <f t="array" ref="M41">_xlfn.IFS(MIN(D41:H41)=2,"Неуд.",MIN(D41:H41)=3,"Уд.",MIN(D41:H41)=4,"Хор.",MIN(D41:H41)=5,"Отл.")</f>
        <v>Хор.</v>
      </c>
    </row>
    <row r="42" spans="1:13" ht="15" thickBot="1" x14ac:dyDescent="0.35">
      <c r="A42" s="48">
        <v>39</v>
      </c>
      <c r="B42" s="69" t="s">
        <v>70</v>
      </c>
      <c r="C42" s="43" t="s">
        <v>30</v>
      </c>
      <c r="D42" s="36">
        <v>2</v>
      </c>
      <c r="E42" s="39">
        <v>5</v>
      </c>
      <c r="F42" s="39">
        <v>2</v>
      </c>
      <c r="G42" s="39">
        <v>5</v>
      </c>
      <c r="H42" s="39">
        <v>5</v>
      </c>
      <c r="I42" s="3">
        <f t="shared" si="0"/>
        <v>3.8</v>
      </c>
      <c r="J42" s="62">
        <f t="shared" si="1"/>
        <v>0</v>
      </c>
      <c r="K42" s="62">
        <f t="shared" si="3"/>
        <v>0</v>
      </c>
      <c r="L42" s="57">
        <f t="shared" si="2"/>
        <v>0</v>
      </c>
      <c r="M42" s="67" t="str">
        <f t="array" ref="M42">_xlfn.IFS(MIN(D42:H42)=2,"Неуд.",MIN(D42:H42)=3,"Уд.",MIN(D42:H42)=4,"Хор.",MIN(D42:H42)=5,"Отл.")</f>
        <v>Неуд.</v>
      </c>
    </row>
    <row r="43" spans="1:13" ht="15" thickBot="1" x14ac:dyDescent="0.35">
      <c r="A43" s="49">
        <v>40</v>
      </c>
      <c r="B43" s="70" t="s">
        <v>71</v>
      </c>
      <c r="C43" s="71" t="s">
        <v>30</v>
      </c>
      <c r="D43" s="42">
        <v>5</v>
      </c>
      <c r="E43" s="41">
        <v>5</v>
      </c>
      <c r="F43" s="41">
        <v>5</v>
      </c>
      <c r="G43" s="41">
        <v>5</v>
      </c>
      <c r="H43" s="41">
        <v>5</v>
      </c>
      <c r="I43" s="34">
        <f t="shared" si="0"/>
        <v>5</v>
      </c>
      <c r="J43" s="64">
        <f t="shared" si="1"/>
        <v>4330</v>
      </c>
      <c r="K43" s="64">
        <f t="shared" si="3"/>
        <v>1075</v>
      </c>
      <c r="L43" s="60">
        <f t="shared" si="2"/>
        <v>5405</v>
      </c>
      <c r="M43" s="68" t="str">
        <f t="array" ref="M43">_xlfn.IFS(MIN(D43:H43)=2,"Неуд.",MIN(D43:H43)=3,"Уд.",MIN(D43:H43)=4,"Хор.",MIN(D43:H43)=5,"Отл.")</f>
        <v>Отл.</v>
      </c>
    </row>
    <row r="46" spans="1:13" x14ac:dyDescent="0.3">
      <c r="B46" s="5" t="s">
        <v>28</v>
      </c>
      <c r="C46" t="s">
        <v>78</v>
      </c>
    </row>
    <row r="47" spans="1:13" x14ac:dyDescent="0.3">
      <c r="B47" s="4" t="s">
        <v>74</v>
      </c>
      <c r="C47">
        <v>6</v>
      </c>
    </row>
    <row r="48" spans="1:13" x14ac:dyDescent="0.3">
      <c r="B48" s="4" t="s">
        <v>73</v>
      </c>
      <c r="C48">
        <v>21</v>
      </c>
    </row>
    <row r="49" spans="2:3" x14ac:dyDescent="0.3">
      <c r="B49" s="4" t="s">
        <v>72</v>
      </c>
      <c r="C49">
        <v>9</v>
      </c>
    </row>
    <row r="50" spans="2:3" x14ac:dyDescent="0.3">
      <c r="B50" s="4" t="s">
        <v>77</v>
      </c>
      <c r="C50">
        <v>4</v>
      </c>
    </row>
    <row r="51" spans="2:3" x14ac:dyDescent="0.3">
      <c r="B51" s="4" t="s">
        <v>75</v>
      </c>
      <c r="C51">
        <v>40</v>
      </c>
    </row>
  </sheetData>
  <mergeCells count="3">
    <mergeCell ref="A1:A2"/>
    <mergeCell ref="B1:M1"/>
    <mergeCell ref="D2:I2"/>
  </mergeCells>
  <phoneticPr fontId="4" type="noConversion"/>
  <conditionalFormatting sqref="D4:H23 D24:D43 F24:H4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4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:M43">
    <cfRule type="cellIs" dxfId="4" priority="9" operator="equal">
      <formula>"Неуд."</formula>
    </cfRule>
    <cfRule type="cellIs" dxfId="3" priority="10" operator="equal">
      <formula>"Уд."</formula>
    </cfRule>
    <cfRule type="cellIs" dxfId="2" priority="11" operator="equal">
      <formula>"Хор."</formula>
    </cfRule>
    <cfRule type="cellIs" dxfId="1" priority="12" operator="equal">
      <formula>"Отл."</formula>
    </cfRule>
  </conditionalFormatting>
  <conditionalFormatting sqref="E24:E4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I43">
    <cfRule type="colorScale" priority="1">
      <colorScale>
        <cfvo type="min"/>
        <cfvo type="percentile" val="50"/>
        <cfvo type="max"/>
        <color rgb="FFFF9999"/>
        <color theme="7" tint="0.79998168889431442"/>
        <color theme="9" tint="0.79998168889431442"/>
      </colorScale>
    </cfRule>
    <cfRule type="colorScale" priority="2">
      <colorScale>
        <cfvo type="min"/>
        <cfvo type="percentile" val="50"/>
        <cfvo type="max"/>
        <color rgb="FFFF7128"/>
        <color rgb="FFFFEB84"/>
        <color rgb="FFCCFF99"/>
      </colorScale>
    </cfRule>
    <cfRule type="colorScale" priority="3">
      <colorScale>
        <cfvo type="min"/>
        <cfvo type="max"/>
        <color theme="9" tint="0.39997558519241921"/>
        <color rgb="FFFF9999"/>
      </colorScale>
    </cfRule>
    <cfRule type="colorScale" priority="4">
      <colorScale>
        <cfvo type="min"/>
        <cfvo type="max"/>
        <color rgb="FFFF7C80"/>
        <color rgb="FFCCFF99"/>
      </colorScale>
    </cfRule>
    <cfRule type="colorScale" priority="5">
      <colorScale>
        <cfvo type="min"/>
        <cfvo type="max"/>
        <color theme="5" tint="0.79998168889431442"/>
        <color theme="9" tint="0.79998168889431442"/>
      </colorScale>
    </cfRule>
    <cfRule type="colorScale" priority="6">
      <colorScale>
        <cfvo type="min"/>
        <cfvo type="max"/>
        <color rgb="FFFF7128"/>
        <color rgb="FFFFEF9C"/>
      </colorScale>
    </cfRule>
    <cfRule type="cellIs" dxfId="0" priority="7" operator="equal">
      <formula>2</formula>
    </cfRule>
  </conditionalFormatting>
  <dataValidations disablePrompts="1" count="1">
    <dataValidation type="list" allowBlank="1" showInputMessage="1" showErrorMessage="1" promptTitle="Оценка за экзамен" prompt="Выберите нужное значение из списка или введите число от 2 до 5 включительно" sqref="D4:H43" xr:uid="{CF601463-C24D-49FC-95AA-A93A76095A54}">
      <formula1>"2,3,4,5"</formula1>
    </dataValidation>
  </dataValidations>
  <pageMargins left="0.7" right="0.7" top="0.75" bottom="0.75" header="0.3" footer="0.3"/>
  <pageSetup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Кирилл Глазунов</dc:creator>
  <cp:lastModifiedBy>Иван Егупов</cp:lastModifiedBy>
  <dcterms:created xsi:type="dcterms:W3CDTF">2015-06-05T18:19:34Z</dcterms:created>
  <dcterms:modified xsi:type="dcterms:W3CDTF">2023-11-19T14:58:30Z</dcterms:modified>
</cp:coreProperties>
</file>